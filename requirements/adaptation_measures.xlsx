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100" tabRatio="766" firstSheet="0" activeTab="2" autoFilterDateGrouping="1"/>
  </bookViews>
  <sheets>
    <sheet name="assets" sheetId="1" state="visible" r:id="rId1"/>
    <sheet name="impact_functions" sheetId="2" state="visible" r:id="rId2"/>
    <sheet name="measures" sheetId="3" state="visible" r:id="rId3"/>
    <sheet name="discount" sheetId="4" state="visible" r:id="rId4"/>
    <sheet name="_measures_details" sheetId="5" state="visible" r:id="rId5"/>
    <sheet name="_discounting_sheet" sheetId="6" state="visible" r:id="rId6"/>
    <sheet name="names" sheetId="7" state="visible" r:id="rId7"/>
  </sheets>
  <definedNames/>
  <calcPr calcId="191029" fullCalcOnLoad="1"/>
</workbook>
</file>

<file path=xl/styles.xml><?xml version="1.0" encoding="utf-8"?>
<styleSheet xmlns="http://schemas.openxmlformats.org/spreadsheetml/2006/main">
  <numFmts count="5">
    <numFmt numFmtId="164" formatCode="_(* #,##0_);_(* \(#,##0\);_(* &quot;-&quot;??_);_(@_)"/>
    <numFmt numFmtId="165" formatCode="0.0%"/>
    <numFmt numFmtId="166" formatCode="0.0"/>
    <numFmt numFmtId="167" formatCode="0.000"/>
    <numFmt numFmtId="168" formatCode="0.0000"/>
  </numFmts>
  <fonts count="20">
    <font>
      <name val="Arial"/>
      <family val="2"/>
      <sz val="10"/>
    </font>
    <font>
      <name val="Arial"/>
      <family val="2"/>
      <sz val="10"/>
    </font>
    <font>
      <name val="Arial"/>
      <family val="2"/>
      <sz val="10"/>
    </font>
    <font>
      <name val="Arial"/>
      <family val="2"/>
      <sz val="10"/>
    </font>
    <font>
      <name val="Arial"/>
      <family val="2"/>
      <color indexed="8"/>
      <sz val="10"/>
    </font>
    <font>
      <name val="Arial"/>
      <family val="2"/>
      <color indexed="8"/>
      <sz val="10"/>
      <vertAlign val="superscript"/>
    </font>
    <font>
      <name val="Arial"/>
      <family val="2"/>
      <color indexed="8"/>
      <sz val="10"/>
    </font>
    <font>
      <name val="Arial"/>
      <family val="2"/>
      <b val="1"/>
      <color indexed="8"/>
      <sz val="10"/>
    </font>
    <font>
      <name val="Arial"/>
      <family val="2"/>
      <b val="1"/>
      <i val="1"/>
      <color indexed="8"/>
      <sz val="10"/>
    </font>
    <font>
      <name val="Arial"/>
      <family val="2"/>
      <i val="1"/>
      <color indexed="8"/>
      <sz val="10"/>
    </font>
    <font>
      <name val="Arial"/>
      <family val="2"/>
      <sz val="11"/>
    </font>
    <font>
      <name val="Arial"/>
      <family val="2"/>
      <sz val="11"/>
    </font>
    <font>
      <name val="Calibri"/>
      <family val="2"/>
      <color indexed="81"/>
      <sz val="10"/>
    </font>
    <font>
      <name val="Calibri"/>
      <family val="2"/>
      <b val="1"/>
      <color indexed="81"/>
      <sz val="10"/>
    </font>
    <font>
      <name val="SwissReSans"/>
      <family val="2"/>
      <color theme="1"/>
      <sz val="11"/>
    </font>
    <font>
      <name val="Arial"/>
      <family val="2"/>
      <color theme="10"/>
      <sz val="10"/>
      <u val="single"/>
    </font>
    <font>
      <name val="Arial"/>
      <family val="2"/>
      <color theme="11"/>
      <sz val="10"/>
      <u val="single"/>
    </font>
    <font>
      <name val="Calibri"/>
      <family val="2"/>
      <color rgb="FF000000"/>
      <sz val="10"/>
    </font>
    <font>
      <name val="Tahoma"/>
      <charset val="1"/>
      <b val="1"/>
      <color indexed="81"/>
      <sz val="9"/>
    </font>
    <font>
      <name val="Tahoma"/>
      <charset val="1"/>
      <color indexed="81"/>
      <sz val="9"/>
    </font>
  </fonts>
  <fills count="7">
    <fill>
      <patternFill/>
    </fill>
    <fill>
      <patternFill patternType="gray125"/>
    </fill>
    <fill>
      <patternFill patternType="solid">
        <fgColor indexed="22"/>
        <bgColor indexed="64"/>
      </patternFill>
    </fill>
    <fill>
      <patternFill patternType="solid">
        <fgColor indexed="13"/>
        <bgColor indexed="64"/>
      </patternFill>
    </fill>
    <fill>
      <patternFill patternType="solid">
        <fgColor indexed="51"/>
        <bgColor indexed="64"/>
      </patternFill>
    </fill>
    <fill>
      <patternFill patternType="solid">
        <fgColor indexed="42"/>
        <bgColor indexed="64"/>
      </patternFill>
    </fill>
    <fill>
      <patternFill patternType="solid">
        <fgColor theme="2"/>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right/>
      <top/>
      <bottom style="thin">
        <color auto="1"/>
      </bottom>
      <diagonal/>
    </border>
  </borders>
  <cellStyleXfs count="12">
    <xf numFmtId="0" fontId="3" fillId="0" borderId="0"/>
    <xf numFmtId="43" fontId="3" fillId="0" borderId="0"/>
    <xf numFmtId="43" fontId="3" fillId="0" borderId="0"/>
    <xf numFmtId="43" fontId="3" fillId="0" borderId="0"/>
    <xf numFmtId="0" fontId="3" fillId="0" borderId="0"/>
    <xf numFmtId="0" fontId="3" fillId="0" borderId="0"/>
    <xf numFmtId="0" fontId="14" fillId="0" borderId="0"/>
    <xf numFmtId="9" fontId="3" fillId="0" borderId="0"/>
    <xf numFmtId="9" fontId="3" fillId="0" borderId="0"/>
    <xf numFmtId="0" fontId="15" fillId="0" borderId="0"/>
    <xf numFmtId="0" fontId="16" fillId="0" borderId="0"/>
    <xf numFmtId="0" fontId="3" fillId="0" borderId="0"/>
  </cellStyleXfs>
  <cellXfs count="66">
    <xf numFmtId="0" fontId="0" fillId="0" borderId="0" pivotButton="0" quotePrefix="0" xfId="0"/>
    <xf numFmtId="0" fontId="6" fillId="0" borderId="0" pivotButton="0" quotePrefix="0" xfId="0"/>
    <xf numFmtId="0" fontId="6" fillId="0" borderId="0" pivotButton="0" quotePrefix="0" xfId="4"/>
    <xf numFmtId="164" fontId="6" fillId="0" borderId="0" pivotButton="0" quotePrefix="0" xfId="1"/>
    <xf numFmtId="164" fontId="6" fillId="0" borderId="0" pivotButton="0" quotePrefix="0" xfId="0"/>
    <xf numFmtId="9" fontId="6" fillId="0" borderId="0" pivotButton="0" quotePrefix="0" xfId="0"/>
    <xf numFmtId="0" fontId="7" fillId="0" borderId="0" pivotButton="0" quotePrefix="0" xfId="0"/>
    <xf numFmtId="0" fontId="7" fillId="0" borderId="0" pivotButton="0" quotePrefix="0" xfId="4"/>
    <xf numFmtId="1" fontId="6" fillId="0" borderId="0" pivotButton="0" quotePrefix="0" xfId="4"/>
    <xf numFmtId="164" fontId="7" fillId="0" borderId="0" pivotButton="0" quotePrefix="0" xfId="1"/>
    <xf numFmtId="1" fontId="6" fillId="0" borderId="0" pivotButton="0" quotePrefix="0" xfId="0"/>
    <xf numFmtId="165" fontId="6" fillId="0" borderId="0" pivotButton="0" quotePrefix="0" xfId="0"/>
    <xf numFmtId="0" fontId="2" fillId="0" borderId="0" pivotButton="0" quotePrefix="0" xfId="5"/>
    <xf numFmtId="0" fontId="7" fillId="2" borderId="0" pivotButton="0" quotePrefix="0" xfId="0"/>
    <xf numFmtId="0" fontId="7" fillId="2" borderId="0" pivotButton="0" quotePrefix="0" xfId="4"/>
    <xf numFmtId="0" fontId="6" fillId="2" borderId="0" pivotButton="0" quotePrefix="0" xfId="4"/>
    <xf numFmtId="0" fontId="6" fillId="2" borderId="0" pivotButton="0" quotePrefix="0" xfId="0"/>
    <xf numFmtId="166" fontId="6" fillId="3" borderId="1" pivotButton="0" quotePrefix="0" xfId="4"/>
    <xf numFmtId="0" fontId="6" fillId="3" borderId="1" pivotButton="0" quotePrefix="0" xfId="4"/>
    <xf numFmtId="3" fontId="6" fillId="3" borderId="1" pivotButton="0" quotePrefix="0" xfId="4"/>
    <xf numFmtId="3" fontId="7" fillId="3" borderId="1" pivotButton="0" quotePrefix="0" xfId="4"/>
    <xf numFmtId="164" fontId="6" fillId="3" borderId="1" pivotButton="0" quotePrefix="0" xfId="2"/>
    <xf numFmtId="164" fontId="8" fillId="3" borderId="1" pivotButton="0" quotePrefix="0" xfId="1"/>
    <xf numFmtId="164" fontId="9" fillId="3" borderId="1" pivotButton="0" quotePrefix="0" xfId="1"/>
    <xf numFmtId="164" fontId="6" fillId="2" borderId="0" pivotButton="0" quotePrefix="0" xfId="1"/>
    <xf numFmtId="164" fontId="8" fillId="2" borderId="0" pivotButton="0" quotePrefix="0" xfId="1"/>
    <xf numFmtId="164" fontId="9" fillId="2" borderId="0" pivotButton="0" quotePrefix="0" xfId="1"/>
    <xf numFmtId="164" fontId="6" fillId="4" borderId="0" pivotButton="0" quotePrefix="0" xfId="1"/>
    <xf numFmtId="164" fontId="8" fillId="4" borderId="0" pivotButton="0" quotePrefix="0" xfId="1"/>
    <xf numFmtId="164" fontId="9" fillId="4" borderId="0" pivotButton="0" quotePrefix="0" xfId="1"/>
    <xf numFmtId="0" fontId="10" fillId="0" borderId="0" pivotButton="0" quotePrefix="0" xfId="5"/>
    <xf numFmtId="0" fontId="10" fillId="5" borderId="0" pivotButton="0" quotePrefix="0" xfId="0"/>
    <xf numFmtId="167" fontId="10" fillId="5" borderId="0" pivotButton="0" quotePrefix="0" xfId="0"/>
    <xf numFmtId="0" fontId="10" fillId="5" borderId="0" pivotButton="0" quotePrefix="0" xfId="5"/>
    <xf numFmtId="0" fontId="10" fillId="5" borderId="2" pivotButton="0" quotePrefix="0" xfId="5"/>
    <xf numFmtId="0" fontId="10" fillId="5" borderId="2" pivotButton="0" quotePrefix="0" xfId="0"/>
    <xf numFmtId="0" fontId="4" fillId="0" borderId="0" pivotButton="0" quotePrefix="0" xfId="0"/>
    <xf numFmtId="1" fontId="11" fillId="5" borderId="0" pivotButton="0" quotePrefix="0" xfId="5"/>
    <xf numFmtId="0" fontId="11" fillId="5" borderId="0" pivotButton="0" quotePrefix="0" xfId="5"/>
    <xf numFmtId="167" fontId="11" fillId="5" borderId="0" pivotButton="0" quotePrefix="0" xfId="0"/>
    <xf numFmtId="167" fontId="0" fillId="5" borderId="0" pivotButton="0" quotePrefix="0" xfId="0"/>
    <xf numFmtId="1" fontId="11" fillId="5" borderId="2" pivotButton="0" quotePrefix="0" xfId="5"/>
    <xf numFmtId="0" fontId="11" fillId="5" borderId="2" pivotButton="0" quotePrefix="0" xfId="5"/>
    <xf numFmtId="167" fontId="0" fillId="5" borderId="2" pivotButton="0" quotePrefix="0" xfId="0"/>
    <xf numFmtId="167" fontId="10" fillId="5" borderId="2" pivotButton="0" quotePrefix="0" xfId="0"/>
    <xf numFmtId="167" fontId="10" fillId="0" borderId="0" pivotButton="0" quotePrefix="0" xfId="0"/>
    <xf numFmtId="0" fontId="10" fillId="0" borderId="2" pivotButton="0" quotePrefix="0" xfId="5"/>
    <xf numFmtId="0" fontId="10" fillId="0" borderId="0" pivotButton="0" quotePrefix="0" xfId="0"/>
    <xf numFmtId="167" fontId="10" fillId="0" borderId="2" pivotButton="0" quotePrefix="0" xfId="0"/>
    <xf numFmtId="0" fontId="10" fillId="0" borderId="2" pivotButton="0" quotePrefix="0" xfId="0"/>
    <xf numFmtId="167" fontId="11" fillId="5" borderId="2" pivotButton="0" quotePrefix="0" xfId="0"/>
    <xf numFmtId="0" fontId="4" fillId="0" borderId="2" pivotButton="0" quotePrefix="0" xfId="0"/>
    <xf numFmtId="0" fontId="6" fillId="0" borderId="2" pivotButton="0" quotePrefix="0" xfId="0"/>
    <xf numFmtId="0" fontId="0" fillId="2" borderId="2" pivotButton="0" quotePrefix="0" xfId="5"/>
    <xf numFmtId="0" fontId="0" fillId="2" borderId="0" pivotButton="0" quotePrefix="0" xfId="5"/>
    <xf numFmtId="0" fontId="10" fillId="4" borderId="0" pivotButton="0" quotePrefix="0" xfId="5"/>
    <xf numFmtId="0" fontId="0" fillId="6" borderId="2" pivotButton="0" quotePrefix="0" xfId="0"/>
    <xf numFmtId="0" fontId="0" fillId="6" borderId="0" pivotButton="0" quotePrefix="0" xfId="0"/>
    <xf numFmtId="0" fontId="1" fillId="4" borderId="0" pivotButton="0" quotePrefix="0" xfId="5"/>
    <xf numFmtId="168" fontId="1" fillId="4" borderId="0" pivotButton="0" quotePrefix="0" xfId="5"/>
    <xf numFmtId="0" fontId="0" fillId="6" borderId="0" applyAlignment="1" pivotButton="0" quotePrefix="0" xfId="0">
      <alignment horizontal="left"/>
    </xf>
    <xf numFmtId="164" fontId="4" fillId="0" borderId="0" pivotButton="0" quotePrefix="0" xfId="1"/>
    <xf numFmtId="0" fontId="0" fillId="0" borderId="0" applyAlignment="1" pivotButton="0" quotePrefix="0" xfId="0">
      <alignment vertical="top"/>
    </xf>
    <xf numFmtId="0" fontId="4" fillId="0" borderId="0" pivotButton="0" quotePrefix="0" xfId="13"/>
    <xf numFmtId="166" fontId="6" fillId="3" borderId="1" pivotButton="0" quotePrefix="0" xfId="4"/>
    <xf numFmtId="165" fontId="6" fillId="0" borderId="0" pivotButton="0" quotePrefix="0" xfId="0"/>
  </cellXfs>
  <cellStyles count="12">
    <cellStyle name="Normal" xfId="0" builtinId="0"/>
    <cellStyle name="Comma" xfId="1" builtinId="3"/>
    <cellStyle name="Comma 2" xfId="2"/>
    <cellStyle name="Comma 3" xfId="3"/>
    <cellStyle name="Normal 2" xfId="4"/>
    <cellStyle name="Normal 3" xfId="5"/>
    <cellStyle name="Normal 4" xfId="6"/>
    <cellStyle name="Percent 2" xfId="7"/>
    <cellStyle name="Percent 3" xfId="8"/>
    <cellStyle name="Hyperlink" xfId="9" builtinId="8" hidden="1"/>
    <cellStyle name="Followed Hyperlink" xfId="10" builtinId="9" hidden="1"/>
    <cellStyle name="Normal 3 2" xfId="11"/>
  </cellStyles>
  <dxfs count="1">
    <dxf>
      <font>
        <color rgb="FF9C0006"/>
      </font>
      <fill>
        <patternFill>
          <bgColor rgb="FFFFC7CE"/>
        </patternFill>
      </fill>
    </dxf>
  </dxfs>
  <tableStyles count="0" defaultTableStyle="TableStyleMedium9" defaultPivotStyle="PivotStyleMedium7"/>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 satisfied Microsoft Office user</author>
  </authors>
  <commentList>
    <comment ref="A1" authorId="0" shapeId="0">
      <text>
        <t>Latitude in decimal, i.e. 45N 30' is 45.5</t>
      </text>
    </comment>
    <comment ref="B1" authorId="0" shapeId="0">
      <text>
        <t>Longitude in decimal</t>
      </text>
    </comment>
    <comment ref="C1" authorId="0" shapeId="0">
      <text>
        <t>asset Value (any denomination, just make sure you are consistent, i.e. if Value are number of people living at a place, all calculacitons will be in units of number of people.</t>
      </text>
    </comment>
    <comment ref="D1" authorId="0" shapeId="0">
      <text>
        <t>OPTIONAL
Deductible (in units of Value). Deductible is applied at the affected assets (see PAA in tab damagefunctions)</t>
      </text>
    </comment>
    <comment ref="E1" authorId="0" shapeId="0">
      <text>
        <t>OPTIONAL
Covered value (in units of Value). Limits the damage at the specified location (i.e. in case only damages up to a certain value are covered). If set to zero, the limiting effect is ignored (i.e. set Value to zero for a point not to be considered)</t>
      </text>
    </comment>
    <comment ref="F1" authorId="0" shapeId="0">
      <text>
        <t>OPTIONAL
to group assets into regions, only integer values allowed (it's in fatc an ID)</t>
      </text>
    </comment>
    <comment ref="G1" authorId="0" shapeId="0">
      <text>
        <t xml:space="preserve">OPTIONAL
This way, one can group assets into categories and later show results for single categories, see climada_viewer. Only Integer values allowed (it's in fatc an ID)
Remark on the assets tab: You can read only this tab with climada_assets_read. But you will usually make use of climada_entity_read, whixh reads all tabs and does all the necessayr checks etc.
</t>
      </text>
    </comment>
    <comment ref="H1" authorId="0" shapeId="0">
      <text>
        <t>The damage function ID that links to tab damagefunctions</t>
      </text>
    </comment>
    <comment ref="I1" authorId="0" shapeId="0">
      <text>
        <t>The damage function ID that links to tab damagefunctions</t>
      </text>
    </comment>
  </commentList>
</comments>
</file>

<file path=xl/comments/comment2.xml><?xml version="1.0" encoding="utf-8"?>
<comments xmlns="http://schemas.openxmlformats.org/spreadsheetml/2006/main">
  <authors>
    <author>A satisfied Microsoft Office user</author>
    <author>David N. Bresch</author>
  </authors>
  <commentList>
    <comment ref="A1" authorId="0" shapeId="0">
      <text>
        <t>The Damage function ID to link to the asset tab.
Note on the damagefunctions tab: You can read only this tab with climada_damagefunctiuons_read and e.g. display all functions with climada_damagefunctions_plot. Replace existing damagefunctions in an encoded entity with these damagefunctions with climada_damagefunctions_map</t>
      </text>
    </comment>
    <comment ref="B1" authorId="0" shapeId="0">
      <text>
        <t>The hazard intensity, i.e. has to correspond to the values in hazard.intensity</t>
      </text>
    </comment>
    <comment ref="C1" authorId="0" shapeId="0">
      <text>
        <t>The Mean Damage Degree (the damage for a given intensity at an affected asset) - how strongly an asset is damaged. Range 0..1 (from none to total destruction)</t>
      </text>
    </comment>
    <comment ref="D1" authorId="0" shapeId="0">
      <text>
        <t>The Percentage of Assets Affected  (the percentage of assets affected for a given hazard intensity) - how many assets are affected. Range 0..1 (from none affected to all affected)</t>
      </text>
    </comment>
    <comment ref="E1" authorId="0" shapeId="0">
      <text>
        <t>the 2-digit peril identifier, e.g. TC for Tropical Cyclone wind, TS for surge, TR for rain, WS for European winter strom, EQ for earthquake. Matches with hazard.peril_ID. If empty, use the damage function irrespective of peril (i.e. the user needs to know which entity to expose to which peril)</t>
      </text>
    </comment>
    <comment ref="F1" authorId="0" shapeId="0">
      <text>
        <t>OPTIONAL
The unit of the intensity, e.g. m/s for wind or MMI for earthquake. Please use SI units wherever possible.</t>
      </text>
    </comment>
    <comment ref="G1" authorId="0" shapeId="0">
      <text>
        <t>OPTIONAL
a free name, only used for annotation. Use only letters,  numbers and spaces, do not start with a letter.</t>
      </text>
    </comment>
    <comment ref="E2" authorId="0" shapeId="0">
      <text>
        <t>climada_damagefunction_generate(0:5:120,25,1,0.375,'s-shape','TC',0);</t>
      </text>
    </comment>
    <comment ref="A27" authorId="0" shapeId="0">
      <text>
        <t xml:space="preserve">added 20141204
</t>
      </text>
    </comment>
    <comment ref="A46" authorId="0" shapeId="0">
      <text>
        <t>used to be once VulnCurveID 520 in catXos, then 1001. Here set to 1.</t>
      </text>
    </comment>
    <comment ref="C46" authorId="0" shapeId="0">
      <text>
        <t>adjusted 20150122
previous values multiplied by 1.15</t>
      </text>
    </comment>
    <comment ref="A58" authorId="0" shapeId="0">
      <text>
        <t>higher intensities kept to avoid troubles in lookup (since the innermost core of climada is quite optimized)</t>
      </text>
    </comment>
    <comment ref="A67" authorId="0" shapeId="0">
      <text>
        <t>added 20141222
20160529, replaced with a reasonable damage function (inspired byEQ California, expert guess)</t>
      </text>
    </comment>
    <comment ref="A81" authorId="0" shapeId="0">
      <text>
        <t>added 20150309 (initial)</t>
      </text>
    </comment>
    <comment ref="E81" authorId="0" shapeId="0">
      <text>
        <t>climada_damagefunction_generate(0:10:500,0,1,0.75,'s-shape','VQ')</t>
      </text>
    </comment>
    <comment ref="B132" authorId="0" shapeId="0">
      <text>
        <t>20160529 added to just to have something in. Copy/paste from TC, indensity multiplied by 10 (to cover up to 1200 mm of rain, then last lines 1500, 2000 and 3000 added.</t>
      </text>
    </comment>
    <comment ref="E132" authorId="0" shapeId="0">
      <text>
        <t>climada_damagefunction_generate(0:5:120,25,1,0.375,'s-shape','TC',0);</t>
      </text>
    </comment>
    <comment ref="E160" authorId="0" shapeId="0">
      <text>
        <t>20160916, added from LS Acelhuate (San Salvador). Just a starting point.</t>
      </text>
    </comment>
    <comment ref="E229" authorId="0" shapeId="0">
      <text>
        <t>o show the effect, NOT a really good damage function.</t>
      </text>
    </comment>
    <comment ref="G229" authorId="0" shapeId="0">
      <text>
        <t>o show the effect, NOT a really good damage function.</t>
      </text>
    </comment>
    <comment ref="A238" authorId="0" shapeId="0">
      <text>
        <t xml:space="preserve">added 20141204
</t>
      </text>
    </comment>
    <comment ref="E238" authorId="1" shapeId="0">
      <text>
        <t xml:space="preserve">20160929, added dummy FL damage function, a copy of TS
</t>
      </text>
    </comment>
    <comment ref="G257" authorId="1" shapeId="0">
      <text>
        <t>0161006, added</t>
      </text>
    </comment>
    <comment ref="E273" authorId="1" shapeId="0">
      <text>
        <t xml:space="preserve">added 20170623
</t>
      </text>
    </comment>
    <comment ref="A282" authorId="0" shapeId="0">
      <text>
        <t xml:space="preserve">added 20141204
</t>
      </text>
    </comment>
    <comment ref="E282" authorId="1" shapeId="0">
      <text>
        <t>DamagE function according to climada_petals</t>
      </text>
    </comment>
  </commentList>
</comments>
</file>

<file path=xl/comments/comment3.xml><?xml version="1.0" encoding="utf-8"?>
<comments xmlns="http://schemas.openxmlformats.org/spreadsheetml/2006/main">
  <authors>
    <author>gyawali</author>
  </authors>
  <commentList>
    <comment ref="C4" authorId="0" shapeId="0">
      <text>
        <t xml:space="preserve">gyawali:
Value from students * 0.1 which is ~0.098 .. Curr_risk_monk/ curr_risk_student
</t>
      </text>
    </comment>
  </commentList>
</comments>
</file>

<file path=xl/comments/comment4.xml><?xml version="1.0" encoding="utf-8"?>
<comments xmlns="http://schemas.openxmlformats.org/spreadsheetml/2006/main">
  <authors>
    <author>A satisfied Microsoft Office user</author>
  </authors>
  <commentList>
    <comment ref="B1" authorId="0" shapeId="0">
      <text>
        <t>discount rate for given year (can vary from year to year, in order to really provide yield curve(s)</t>
      </text>
    </comment>
  </commentList>
</comments>
</file>

<file path=xl/comments/comment5.xml><?xml version="1.0" encoding="utf-8"?>
<comments xmlns="http://schemas.openxmlformats.org/spreadsheetml/2006/main">
  <authors>
    <author>A satisfied Microsoft Office user</author>
    <author>Microsoft Office User</author>
    <author>David N. Bresch</author>
  </authors>
  <commentList>
    <comment ref="A1" authorId="0" shapeId="0">
      <text>
        <t xml:space="preserve">OPTIONAL
This tab contains speaking names for items referenced by Ids. ONLY for intger IDs (i.e. not for PerilID)
which item the speaking name for an ID shall correspond to, such as Category, DamageFunID...
</t>
      </text>
    </comment>
    <comment ref="B1" authorId="0" shapeId="0">
      <text>
        <t>the ID as used in the other sheets</t>
      </text>
    </comment>
    <comment ref="C1" authorId="0" shapeId="0">
      <text>
        <t>a speaking name. Do only use letters, numbers and spaces, do not start with a number.
Special for Item Reference year: the year as yyyy, such as 2016</t>
      </text>
    </comment>
    <comment ref="A4" authorId="1" shapeId="0">
      <text>
        <t xml:space="preserve">to define the reference year
</t>
      </text>
    </comment>
    <comment ref="A5" authorId="2" shapeId="0">
      <text>
        <t xml:space="preserve">to store further information for each damage function, like soure
</t>
      </text>
    </comment>
    <comment ref="A6" authorId="2" shapeId="0">
      <text>
        <t xml:space="preserve">to store further information for each damage function, like soure
</t>
      </text>
    </comment>
    <comment ref="A7" authorId="2" shapeId="0">
      <text>
        <t xml:space="preserve">to store further information for each measure like soure, range of applicability etc.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I1"/>
  <sheetViews>
    <sheetView zoomScale="130" zoomScaleNormal="130" workbookViewId="0">
      <selection activeCell="C16" sqref="C16"/>
    </sheetView>
  </sheetViews>
  <sheetFormatPr baseColWidth="8" defaultColWidth="20" defaultRowHeight="12.5"/>
  <cols>
    <col width="14.453125" customWidth="1" style="1" min="1" max="9"/>
    <col width="13" customWidth="1" style="1" min="10" max="10"/>
    <col width="20" customWidth="1" style="1" min="11" max="16384"/>
  </cols>
  <sheetData>
    <row r="1">
      <c r="A1" s="51" t="inlineStr">
        <is>
          <t>latitude</t>
        </is>
      </c>
      <c r="B1" s="51" t="inlineStr">
        <is>
          <t>longitude</t>
        </is>
      </c>
      <c r="C1" s="51" t="inlineStr">
        <is>
          <t>value</t>
        </is>
      </c>
      <c r="D1" s="51" t="inlineStr">
        <is>
          <t>deductible</t>
        </is>
      </c>
      <c r="E1" s="51" t="inlineStr">
        <is>
          <t>cover</t>
        </is>
      </c>
      <c r="F1" s="51" t="inlineStr">
        <is>
          <t>region_id</t>
        </is>
      </c>
      <c r="G1" s="51" t="inlineStr">
        <is>
          <t>category_id</t>
        </is>
      </c>
      <c r="H1" s="51" t="inlineStr">
        <is>
          <t>impf_</t>
        </is>
      </c>
      <c r="I1" s="51" t="inlineStr">
        <is>
          <t>centr_</t>
        </is>
      </c>
    </row>
  </sheetData>
  <pageMargins left="0.7" right="0.7" top="0.75" bottom="0.75"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291"/>
  <sheetViews>
    <sheetView zoomScale="115" zoomScaleNormal="115" workbookViewId="0">
      <selection activeCell="C41" sqref="C41"/>
    </sheetView>
  </sheetViews>
  <sheetFormatPr baseColWidth="8" defaultColWidth="26.26953125" defaultRowHeight="14"/>
  <cols>
    <col width="23.453125" customWidth="1" style="30" min="1" max="5"/>
    <col width="23.453125" customWidth="1" style="12" min="6" max="7"/>
    <col width="26.26953125" customWidth="1" style="12" min="8" max="16384"/>
  </cols>
  <sheetData>
    <row r="1">
      <c r="A1" s="46" t="inlineStr">
        <is>
          <t>impact_fun_id</t>
        </is>
      </c>
      <c r="B1" s="46" t="inlineStr">
        <is>
          <t>intensity</t>
        </is>
      </c>
      <c r="C1" s="46" t="inlineStr">
        <is>
          <t>mdd</t>
        </is>
      </c>
      <c r="D1" s="46" t="inlineStr">
        <is>
          <t>paa</t>
        </is>
      </c>
      <c r="E1" s="46" t="inlineStr">
        <is>
          <t>peril_id</t>
        </is>
      </c>
      <c r="F1" s="53" t="inlineStr">
        <is>
          <t>intensity_unit</t>
        </is>
      </c>
      <c r="G1" s="53" t="inlineStr">
        <is>
          <t>name</t>
        </is>
      </c>
    </row>
    <row r="2">
      <c r="A2" s="30" t="n">
        <v>1</v>
      </c>
      <c r="B2" s="30" t="n">
        <v>0</v>
      </c>
      <c r="C2" s="30" t="n">
        <v>0</v>
      </c>
      <c r="D2" s="30" t="n">
        <v>0</v>
      </c>
      <c r="E2" s="30" t="inlineStr">
        <is>
          <t>TC</t>
        </is>
      </c>
      <c r="F2" s="54" t="inlineStr">
        <is>
          <t>m/s</t>
        </is>
      </c>
      <c r="G2" s="54" t="inlineStr">
        <is>
          <t>Tropical cyclone default</t>
        </is>
      </c>
    </row>
    <row r="3">
      <c r="A3" s="30" t="n">
        <v>1</v>
      </c>
      <c r="B3" s="30" t="n">
        <v>5</v>
      </c>
      <c r="C3" s="30" t="n">
        <v>0</v>
      </c>
      <c r="D3" s="30" t="n">
        <v>0</v>
      </c>
      <c r="E3" s="30" t="inlineStr">
        <is>
          <t>TC</t>
        </is>
      </c>
      <c r="F3" s="54" t="inlineStr">
        <is>
          <t>m/s</t>
        </is>
      </c>
      <c r="G3" s="54" t="inlineStr">
        <is>
          <t>Tropical cyclone default</t>
        </is>
      </c>
    </row>
    <row r="4">
      <c r="A4" s="30" t="n">
        <v>1</v>
      </c>
      <c r="B4" s="30" t="n">
        <v>10</v>
      </c>
      <c r="C4" s="30" t="n">
        <v>0</v>
      </c>
      <c r="D4" s="30" t="n">
        <v>0</v>
      </c>
      <c r="E4" s="30" t="inlineStr">
        <is>
          <t>TC</t>
        </is>
      </c>
      <c r="F4" s="54" t="inlineStr">
        <is>
          <t>m/s</t>
        </is>
      </c>
      <c r="G4" s="54" t="inlineStr">
        <is>
          <t>Tropical cyclone default</t>
        </is>
      </c>
    </row>
    <row r="5">
      <c r="A5" s="30" t="n">
        <v>1</v>
      </c>
      <c r="B5" s="30" t="n">
        <v>15</v>
      </c>
      <c r="C5" s="30" t="n">
        <v>0</v>
      </c>
      <c r="D5" s="30" t="n">
        <v>0</v>
      </c>
      <c r="E5" s="30" t="inlineStr">
        <is>
          <t>TC</t>
        </is>
      </c>
      <c r="F5" s="54" t="inlineStr">
        <is>
          <t>m/s</t>
        </is>
      </c>
      <c r="G5" s="54" t="inlineStr">
        <is>
          <t>Tropical cyclone default</t>
        </is>
      </c>
    </row>
    <row r="6">
      <c r="A6" s="30" t="n">
        <v>1</v>
      </c>
      <c r="B6" s="30" t="n">
        <v>20</v>
      </c>
      <c r="C6" s="30" t="n">
        <v>0</v>
      </c>
      <c r="D6" s="30" t="n">
        <v>0</v>
      </c>
      <c r="E6" s="30" t="inlineStr">
        <is>
          <t>TC</t>
        </is>
      </c>
      <c r="F6" s="54" t="inlineStr">
        <is>
          <t>m/s</t>
        </is>
      </c>
      <c r="G6" s="54" t="inlineStr">
        <is>
          <t>Tropical cyclone default</t>
        </is>
      </c>
    </row>
    <row r="7">
      <c r="A7" s="30" t="n">
        <v>1</v>
      </c>
      <c r="B7" s="30" t="n">
        <v>25</v>
      </c>
      <c r="C7" s="30" t="n">
        <v>0</v>
      </c>
      <c r="D7" s="30" t="n">
        <v>0</v>
      </c>
      <c r="E7" s="30" t="inlineStr">
        <is>
          <t>TC</t>
        </is>
      </c>
      <c r="F7" s="54" t="inlineStr">
        <is>
          <t>m/s</t>
        </is>
      </c>
      <c r="G7" s="54" t="inlineStr">
        <is>
          <t>Tropical cyclone default</t>
        </is>
      </c>
    </row>
    <row r="8">
      <c r="A8" s="30" t="n">
        <v>1</v>
      </c>
      <c r="B8" s="30" t="n">
        <v>30</v>
      </c>
      <c r="C8" s="30" t="n">
        <v>0</v>
      </c>
      <c r="D8" s="30" t="n">
        <v>0</v>
      </c>
      <c r="E8" s="30" t="inlineStr">
        <is>
          <t>TC</t>
        </is>
      </c>
      <c r="F8" s="54" t="inlineStr">
        <is>
          <t>m/s</t>
        </is>
      </c>
      <c r="G8" s="54" t="inlineStr">
        <is>
          <t>Tropical cyclone default</t>
        </is>
      </c>
    </row>
    <row r="9">
      <c r="A9" s="30" t="n">
        <v>1</v>
      </c>
      <c r="B9" s="30" t="n">
        <v>35</v>
      </c>
      <c r="C9" s="30" t="n">
        <v>0.0013</v>
      </c>
      <c r="D9" s="30" t="n">
        <v>0.0034</v>
      </c>
      <c r="E9" s="30" t="inlineStr">
        <is>
          <t>TC</t>
        </is>
      </c>
      <c r="F9" s="54" t="inlineStr">
        <is>
          <t>m/s</t>
        </is>
      </c>
      <c r="G9" s="54" t="inlineStr">
        <is>
          <t>Tropical cyclone default</t>
        </is>
      </c>
    </row>
    <row r="10">
      <c r="A10" s="30" t="n">
        <v>1</v>
      </c>
      <c r="B10" s="30" t="n">
        <v>40</v>
      </c>
      <c r="C10" s="30" t="n">
        <v>0.0039</v>
      </c>
      <c r="D10" s="30" t="n">
        <v>0.0105</v>
      </c>
      <c r="E10" s="30" t="inlineStr">
        <is>
          <t>TC</t>
        </is>
      </c>
      <c r="F10" s="54" t="inlineStr">
        <is>
          <t>m/s</t>
        </is>
      </c>
      <c r="G10" s="54" t="inlineStr">
        <is>
          <t>Tropical cyclone default</t>
        </is>
      </c>
    </row>
    <row r="11">
      <c r="A11" s="30" t="n">
        <v>1</v>
      </c>
      <c r="B11" s="30" t="n">
        <v>45</v>
      </c>
      <c r="C11" s="30" t="n">
        <v>0.0091</v>
      </c>
      <c r="D11" s="30" t="n">
        <v>0.0243</v>
      </c>
      <c r="E11" s="30" t="inlineStr">
        <is>
          <t>TC</t>
        </is>
      </c>
      <c r="F11" s="54" t="inlineStr">
        <is>
          <t>m/s</t>
        </is>
      </c>
      <c r="G11" s="54" t="inlineStr">
        <is>
          <t>Tropical cyclone default</t>
        </is>
      </c>
    </row>
    <row r="12">
      <c r="A12" s="30" t="n">
        <v>1</v>
      </c>
      <c r="B12" s="30" t="n">
        <v>50</v>
      </c>
      <c r="C12" s="30" t="n">
        <v>0.0182</v>
      </c>
      <c r="D12" s="30" t="n">
        <v>0.0487</v>
      </c>
      <c r="E12" s="30" t="inlineStr">
        <is>
          <t>TC</t>
        </is>
      </c>
      <c r="F12" s="54" t="inlineStr">
        <is>
          <t>m/s</t>
        </is>
      </c>
      <c r="G12" s="54" t="inlineStr">
        <is>
          <t>Tropical cyclone default</t>
        </is>
      </c>
    </row>
    <row r="13">
      <c r="A13" s="30" t="n">
        <v>1</v>
      </c>
      <c r="B13" s="30" t="n">
        <v>55</v>
      </c>
      <c r="C13" s="30" t="n">
        <v>0.0331</v>
      </c>
      <c r="D13" s="30" t="n">
        <v>0.0882</v>
      </c>
      <c r="E13" s="30" t="inlineStr">
        <is>
          <t>TC</t>
        </is>
      </c>
      <c r="F13" s="54" t="inlineStr">
        <is>
          <t>m/s</t>
        </is>
      </c>
      <c r="G13" s="54" t="inlineStr">
        <is>
          <t>Tropical cyclone default</t>
        </is>
      </c>
    </row>
    <row r="14">
      <c r="A14" s="30" t="n">
        <v>1</v>
      </c>
      <c r="B14" s="30" t="n">
        <v>60</v>
      </c>
      <c r="C14" s="30" t="n">
        <v>0.0551</v>
      </c>
      <c r="D14" s="30" t="n">
        <v>0.147</v>
      </c>
      <c r="E14" s="30" t="inlineStr">
        <is>
          <t>TC</t>
        </is>
      </c>
      <c r="F14" s="54" t="inlineStr">
        <is>
          <t>m/s</t>
        </is>
      </c>
      <c r="G14" s="54" t="inlineStr">
        <is>
          <t>Tropical cyclone default</t>
        </is>
      </c>
    </row>
    <row r="15">
      <c r="A15" s="30" t="n">
        <v>1</v>
      </c>
      <c r="B15" s="30" t="n">
        <v>65</v>
      </c>
      <c r="C15" s="30" t="n">
        <v>0.0851</v>
      </c>
      <c r="D15" s="30" t="n">
        <v>0.2271</v>
      </c>
      <c r="E15" s="30" t="inlineStr">
        <is>
          <t>TC</t>
        </is>
      </c>
      <c r="F15" s="54" t="inlineStr">
        <is>
          <t>m/s</t>
        </is>
      </c>
      <c r="G15" s="54" t="inlineStr">
        <is>
          <t>Tropical cyclone default</t>
        </is>
      </c>
    </row>
    <row r="16">
      <c r="A16" s="30" t="n">
        <v>1</v>
      </c>
      <c r="B16" s="30" t="n">
        <v>70</v>
      </c>
      <c r="C16" s="30" t="n">
        <v>0.1225</v>
      </c>
      <c r="D16" s="30" t="n">
        <v>0.3268</v>
      </c>
      <c r="E16" s="30" t="inlineStr">
        <is>
          <t>TC</t>
        </is>
      </c>
      <c r="F16" s="54" t="inlineStr">
        <is>
          <t>m/s</t>
        </is>
      </c>
      <c r="G16" s="54" t="inlineStr">
        <is>
          <t>Tropical cyclone default</t>
        </is>
      </c>
    </row>
    <row r="17">
      <c r="A17" s="30" t="n">
        <v>1</v>
      </c>
      <c r="B17" s="30" t="n">
        <v>75</v>
      </c>
      <c r="C17" s="30" t="n">
        <v>0.1652</v>
      </c>
      <c r="D17" s="30" t="n">
        <v>0.4406</v>
      </c>
      <c r="E17" s="30" t="inlineStr">
        <is>
          <t>TC</t>
        </is>
      </c>
      <c r="F17" s="54" t="inlineStr">
        <is>
          <t>m/s</t>
        </is>
      </c>
      <c r="G17" s="54" t="inlineStr">
        <is>
          <t>Tropical cyclone default</t>
        </is>
      </c>
    </row>
    <row r="18">
      <c r="A18" s="30" t="n">
        <v>1</v>
      </c>
      <c r="B18" s="30" t="n">
        <v>80</v>
      </c>
      <c r="C18" s="30" t="n">
        <v>0.2098</v>
      </c>
      <c r="D18" s="30" t="n">
        <v>0.5594</v>
      </c>
      <c r="E18" s="30" t="inlineStr">
        <is>
          <t>TC</t>
        </is>
      </c>
      <c r="F18" s="54" t="inlineStr">
        <is>
          <t>m/s</t>
        </is>
      </c>
      <c r="G18" s="54" t="inlineStr">
        <is>
          <t>Tropical cyclone default</t>
        </is>
      </c>
    </row>
    <row r="19">
      <c r="A19" s="30" t="n">
        <v>1</v>
      </c>
      <c r="B19" s="30" t="n">
        <v>85</v>
      </c>
      <c r="C19" s="30" t="n">
        <v>0.2525</v>
      </c>
      <c r="D19" s="30" t="n">
        <v>0.6732</v>
      </c>
      <c r="E19" s="30" t="inlineStr">
        <is>
          <t>TC</t>
        </is>
      </c>
      <c r="F19" s="54" t="inlineStr">
        <is>
          <t>m/s</t>
        </is>
      </c>
      <c r="G19" s="54" t="inlineStr">
        <is>
          <t>Tropical cyclone default</t>
        </is>
      </c>
    </row>
    <row r="20">
      <c r="A20" s="30" t="n">
        <v>1</v>
      </c>
      <c r="B20" s="30" t="n">
        <v>90</v>
      </c>
      <c r="C20" s="30" t="n">
        <v>0.2899</v>
      </c>
      <c r="D20" s="30" t="n">
        <v>0.7729</v>
      </c>
      <c r="E20" s="30" t="inlineStr">
        <is>
          <t>TC</t>
        </is>
      </c>
      <c r="F20" s="54" t="inlineStr">
        <is>
          <t>m/s</t>
        </is>
      </c>
      <c r="G20" s="54" t="inlineStr">
        <is>
          <t>Tropical cyclone default</t>
        </is>
      </c>
    </row>
    <row r="21">
      <c r="A21" s="30" t="n">
        <v>1</v>
      </c>
      <c r="B21" s="30" t="n">
        <v>95</v>
      </c>
      <c r="C21" s="30" t="n">
        <v>0.3199</v>
      </c>
      <c r="D21" s="30" t="n">
        <v>0.853</v>
      </c>
      <c r="E21" s="30" t="inlineStr">
        <is>
          <t>TC</t>
        </is>
      </c>
      <c r="F21" s="54" t="inlineStr">
        <is>
          <t>m/s</t>
        </is>
      </c>
      <c r="G21" s="54" t="inlineStr">
        <is>
          <t>Tropical cyclone default</t>
        </is>
      </c>
    </row>
    <row r="22">
      <c r="A22" s="30" t="n">
        <v>1</v>
      </c>
      <c r="B22" s="30" t="n">
        <v>100</v>
      </c>
      <c r="C22" s="30" t="n">
        <v>0.3419</v>
      </c>
      <c r="D22" s="30" t="n">
        <v>0.9118000000000001</v>
      </c>
      <c r="E22" s="30" t="inlineStr">
        <is>
          <t>TC</t>
        </is>
      </c>
      <c r="F22" s="54" t="inlineStr">
        <is>
          <t>m/s</t>
        </is>
      </c>
      <c r="G22" s="54" t="inlineStr">
        <is>
          <t>Tropical cyclone default</t>
        </is>
      </c>
    </row>
    <row r="23">
      <c r="A23" s="30" t="n">
        <v>1</v>
      </c>
      <c r="B23" s="30" t="n">
        <v>105</v>
      </c>
      <c r="C23" s="30" t="n">
        <v>0.3568</v>
      </c>
      <c r="D23" s="30" t="n">
        <v>0.9513</v>
      </c>
      <c r="E23" s="30" t="inlineStr">
        <is>
          <t>TC</t>
        </is>
      </c>
      <c r="F23" s="54" t="inlineStr">
        <is>
          <t>m/s</t>
        </is>
      </c>
      <c r="G23" s="54" t="inlineStr">
        <is>
          <t>Tropical cyclone default</t>
        </is>
      </c>
    </row>
    <row r="24">
      <c r="A24" s="30" t="n">
        <v>1</v>
      </c>
      <c r="B24" s="30" t="n">
        <v>110</v>
      </c>
      <c r="C24" s="30" t="n">
        <v>0.3659</v>
      </c>
      <c r="D24" s="30" t="n">
        <v>0.9757</v>
      </c>
      <c r="E24" s="30" t="inlineStr">
        <is>
          <t>TC</t>
        </is>
      </c>
      <c r="F24" s="54" t="inlineStr">
        <is>
          <t>m/s</t>
        </is>
      </c>
      <c r="G24" s="54" t="inlineStr">
        <is>
          <t>Tropical cyclone default</t>
        </is>
      </c>
    </row>
    <row r="25">
      <c r="A25" s="30" t="n">
        <v>1</v>
      </c>
      <c r="B25" s="30" t="n">
        <v>115</v>
      </c>
      <c r="C25" s="30" t="n">
        <v>0.3711</v>
      </c>
      <c r="D25" s="30" t="n">
        <v>0.9895</v>
      </c>
      <c r="E25" s="30" t="inlineStr">
        <is>
          <t>TC</t>
        </is>
      </c>
      <c r="F25" s="54" t="inlineStr">
        <is>
          <t>m/s</t>
        </is>
      </c>
      <c r="G25" s="54" t="inlineStr">
        <is>
          <t>Tropical cyclone default</t>
        </is>
      </c>
    </row>
    <row r="26">
      <c r="A26" s="46" t="n">
        <v>1</v>
      </c>
      <c r="B26" s="46" t="n">
        <v>120</v>
      </c>
      <c r="C26" s="46" t="n">
        <v>0.3737</v>
      </c>
      <c r="D26" s="46" t="n">
        <v>0.9966</v>
      </c>
      <c r="E26" s="46" t="inlineStr">
        <is>
          <t>TC</t>
        </is>
      </c>
      <c r="F26" s="54" t="inlineStr">
        <is>
          <t>m/s</t>
        </is>
      </c>
      <c r="G26" s="54" t="inlineStr">
        <is>
          <t>Tropical cyclone default</t>
        </is>
      </c>
    </row>
    <row r="27">
      <c r="A27" s="31" t="n">
        <v>1</v>
      </c>
      <c r="B27" s="31" t="n">
        <v>0</v>
      </c>
      <c r="C27" s="32" t="n">
        <v>0</v>
      </c>
      <c r="D27" s="32" t="n">
        <v>0</v>
      </c>
      <c r="E27" s="33" t="inlineStr">
        <is>
          <t>TS</t>
        </is>
      </c>
      <c r="F27" s="54" t="inlineStr">
        <is>
          <t>m</t>
        </is>
      </c>
      <c r="G27" s="54" t="inlineStr">
        <is>
          <t>Surge default</t>
        </is>
      </c>
    </row>
    <row r="28">
      <c r="A28" s="31" t="n">
        <v>1</v>
      </c>
      <c r="B28" s="31" t="n">
        <v>0.5</v>
      </c>
      <c r="C28" s="32" t="n">
        <v>0.01</v>
      </c>
      <c r="D28" s="32" t="n">
        <v>0.3934693402873666</v>
      </c>
      <c r="E28" s="33" t="inlineStr">
        <is>
          <t>TS</t>
        </is>
      </c>
      <c r="F28" s="54" t="inlineStr">
        <is>
          <t>m</t>
        </is>
      </c>
      <c r="G28" s="54" t="inlineStr">
        <is>
          <t>Surge default</t>
        </is>
      </c>
    </row>
    <row r="29">
      <c r="A29" s="31" t="n">
        <v>1</v>
      </c>
      <c r="B29" s="31" t="n">
        <v>1</v>
      </c>
      <c r="C29" s="32" t="n">
        <v>0.02</v>
      </c>
      <c r="D29" s="32" t="n">
        <v>0.6321205588285577</v>
      </c>
      <c r="E29" s="33" t="inlineStr">
        <is>
          <t>TS</t>
        </is>
      </c>
      <c r="F29" s="54" t="inlineStr">
        <is>
          <t>m</t>
        </is>
      </c>
      <c r="G29" s="54" t="inlineStr">
        <is>
          <t>Surge default</t>
        </is>
      </c>
    </row>
    <row r="30">
      <c r="A30" s="31" t="n">
        <v>1</v>
      </c>
      <c r="B30" s="31" t="n">
        <v>1.5</v>
      </c>
      <c r="C30" s="32" t="n">
        <v>0.05</v>
      </c>
      <c r="D30" s="32" t="n">
        <v>0.7768698398515702</v>
      </c>
      <c r="E30" s="33" t="inlineStr">
        <is>
          <t>TS</t>
        </is>
      </c>
      <c r="F30" s="54" t="inlineStr">
        <is>
          <t>m</t>
        </is>
      </c>
      <c r="G30" s="54" t="inlineStr">
        <is>
          <t>Surge default</t>
        </is>
      </c>
    </row>
    <row r="31">
      <c r="A31" s="31" t="n">
        <v>1</v>
      </c>
      <c r="B31" s="31" t="n">
        <v>2</v>
      </c>
      <c r="C31" s="32" t="n">
        <v>0.1</v>
      </c>
      <c r="D31" s="32" t="n">
        <v>0.8646647167633873</v>
      </c>
      <c r="E31" s="33" t="inlineStr">
        <is>
          <t>TS</t>
        </is>
      </c>
      <c r="F31" s="54" t="inlineStr">
        <is>
          <t>m</t>
        </is>
      </c>
      <c r="G31" s="54" t="inlineStr">
        <is>
          <t>Surge default</t>
        </is>
      </c>
    </row>
    <row r="32">
      <c r="A32" s="31" t="n">
        <v>1</v>
      </c>
      <c r="B32" s="31" t="n">
        <v>2.5</v>
      </c>
      <c r="C32" s="32" t="n">
        <v>0.2</v>
      </c>
      <c r="D32" s="32" t="n">
        <v>0.9179150013761012</v>
      </c>
      <c r="E32" s="33" t="inlineStr">
        <is>
          <t>TS</t>
        </is>
      </c>
      <c r="F32" s="54" t="inlineStr">
        <is>
          <t>m</t>
        </is>
      </c>
      <c r="G32" s="54" t="inlineStr">
        <is>
          <t>Surge default</t>
        </is>
      </c>
    </row>
    <row r="33">
      <c r="A33" s="31" t="n">
        <v>1</v>
      </c>
      <c r="B33" s="31" t="n">
        <v>3</v>
      </c>
      <c r="C33" s="32" t="n">
        <v>0.3</v>
      </c>
      <c r="D33" s="32" t="n">
        <v>0.950212931632136</v>
      </c>
      <c r="E33" s="33" t="inlineStr">
        <is>
          <t>TS</t>
        </is>
      </c>
      <c r="F33" s="54" t="inlineStr">
        <is>
          <t>m</t>
        </is>
      </c>
      <c r="G33" s="54" t="inlineStr">
        <is>
          <t>Surge default</t>
        </is>
      </c>
    </row>
    <row r="34">
      <c r="A34" s="31" t="n">
        <v>1</v>
      </c>
      <c r="B34" s="31" t="n">
        <v>3.5</v>
      </c>
      <c r="C34" s="32" t="n">
        <v>0.4</v>
      </c>
      <c r="D34" s="32" t="n">
        <v>0.9698026165776815</v>
      </c>
      <c r="E34" s="33" t="inlineStr">
        <is>
          <t>TS</t>
        </is>
      </c>
      <c r="F34" s="54" t="inlineStr">
        <is>
          <t>m</t>
        </is>
      </c>
      <c r="G34" s="54" t="inlineStr">
        <is>
          <t>Surge default</t>
        </is>
      </c>
    </row>
    <row r="35">
      <c r="A35" s="31" t="n">
        <v>1</v>
      </c>
      <c r="B35" s="31" t="n">
        <v>4</v>
      </c>
      <c r="C35" s="32" t="n">
        <v>0.5</v>
      </c>
      <c r="D35" s="32" t="n">
        <v>0.9816843611112658</v>
      </c>
      <c r="E35" s="33" t="inlineStr">
        <is>
          <t>TS</t>
        </is>
      </c>
      <c r="F35" s="54" t="inlineStr">
        <is>
          <t>m</t>
        </is>
      </c>
      <c r="G35" s="54" t="inlineStr">
        <is>
          <t>Surge default</t>
        </is>
      </c>
    </row>
    <row r="36">
      <c r="A36" s="31" t="n">
        <v>1</v>
      </c>
      <c r="B36" s="31" t="n">
        <v>4.5</v>
      </c>
      <c r="C36" s="32" t="n">
        <v>0.6</v>
      </c>
      <c r="D36" s="32" t="n">
        <v>0.9888910034617577</v>
      </c>
      <c r="E36" s="33" t="inlineStr">
        <is>
          <t>TS</t>
        </is>
      </c>
      <c r="F36" s="54" t="inlineStr">
        <is>
          <t>m</t>
        </is>
      </c>
      <c r="G36" s="54" t="inlineStr">
        <is>
          <t>Surge default</t>
        </is>
      </c>
    </row>
    <row r="37">
      <c r="A37" s="31" t="n">
        <v>1</v>
      </c>
      <c r="B37" s="31" t="n">
        <v>5</v>
      </c>
      <c r="C37" s="32" t="n">
        <v>0.65</v>
      </c>
      <c r="D37" s="32" t="n">
        <v>0.9932620530009145</v>
      </c>
      <c r="E37" s="33" t="inlineStr">
        <is>
          <t>TS</t>
        </is>
      </c>
      <c r="F37" s="54" t="inlineStr">
        <is>
          <t>m</t>
        </is>
      </c>
      <c r="G37" s="54" t="inlineStr">
        <is>
          <t>Surge default</t>
        </is>
      </c>
    </row>
    <row r="38">
      <c r="A38" s="31" t="n">
        <v>1</v>
      </c>
      <c r="B38" s="31" t="n">
        <v>5.5</v>
      </c>
      <c r="C38" s="32" t="n">
        <v>0.675</v>
      </c>
      <c r="D38" s="32" t="n">
        <v>0.995913228561536</v>
      </c>
      <c r="E38" s="33" t="inlineStr">
        <is>
          <t>TS</t>
        </is>
      </c>
      <c r="F38" s="54" t="inlineStr">
        <is>
          <t>m</t>
        </is>
      </c>
      <c r="G38" s="54" t="inlineStr">
        <is>
          <t>Surge default</t>
        </is>
      </c>
    </row>
    <row r="39">
      <c r="A39" s="31" t="n">
        <v>1</v>
      </c>
      <c r="B39" s="31" t="n">
        <v>6</v>
      </c>
      <c r="C39" s="32" t="n">
        <v>0.7</v>
      </c>
      <c r="D39" s="32" t="n">
        <v>0.9975212478233336</v>
      </c>
      <c r="E39" s="33" t="inlineStr">
        <is>
          <t>TS</t>
        </is>
      </c>
      <c r="F39" s="54" t="inlineStr">
        <is>
          <t>m</t>
        </is>
      </c>
      <c r="G39" s="54" t="inlineStr">
        <is>
          <t>Surge default</t>
        </is>
      </c>
    </row>
    <row r="40">
      <c r="A40" s="31" t="n">
        <v>1</v>
      </c>
      <c r="B40" s="31" t="n">
        <v>6.5</v>
      </c>
      <c r="C40" s="32" t="n">
        <v>0.71</v>
      </c>
      <c r="D40" s="32" t="n">
        <v>0.9984965608070224</v>
      </c>
      <c r="E40" s="33" t="inlineStr">
        <is>
          <t>TS</t>
        </is>
      </c>
      <c r="F40" s="54" t="inlineStr">
        <is>
          <t>m</t>
        </is>
      </c>
      <c r="G40" s="54" t="inlineStr">
        <is>
          <t>Surge default</t>
        </is>
      </c>
    </row>
    <row r="41">
      <c r="A41" s="31" t="n">
        <v>1</v>
      </c>
      <c r="B41" s="31" t="n">
        <v>7</v>
      </c>
      <c r="C41" s="32" t="n">
        <v>0.72</v>
      </c>
      <c r="D41" s="32" t="n">
        <v>0.9990881180344455</v>
      </c>
      <c r="E41" s="33" t="inlineStr">
        <is>
          <t>TS</t>
        </is>
      </c>
      <c r="F41" s="54" t="inlineStr">
        <is>
          <t>m</t>
        </is>
      </c>
      <c r="G41" s="54" t="inlineStr">
        <is>
          <t>Surge default</t>
        </is>
      </c>
    </row>
    <row r="42">
      <c r="A42" s="31" t="n">
        <v>1</v>
      </c>
      <c r="B42" s="31" t="n">
        <v>7.5</v>
      </c>
      <c r="C42" s="32" t="n">
        <v>0.725</v>
      </c>
      <c r="D42" s="32" t="n">
        <v>0.9994469156298522</v>
      </c>
      <c r="E42" s="33" t="inlineStr">
        <is>
          <t>TS</t>
        </is>
      </c>
      <c r="F42" s="54" t="inlineStr">
        <is>
          <t>m</t>
        </is>
      </c>
      <c r="G42" s="54" t="inlineStr">
        <is>
          <t>Surge default</t>
        </is>
      </c>
    </row>
    <row r="43">
      <c r="A43" s="31" t="n">
        <v>1</v>
      </c>
      <c r="B43" s="31" t="n">
        <v>8</v>
      </c>
      <c r="C43" s="32" t="n">
        <v>0.725</v>
      </c>
      <c r="D43" s="32" t="n">
        <v>0.9996645373720975</v>
      </c>
      <c r="E43" s="33" t="inlineStr">
        <is>
          <t>TS</t>
        </is>
      </c>
      <c r="F43" s="54" t="inlineStr">
        <is>
          <t>m</t>
        </is>
      </c>
      <c r="G43" s="54" t="inlineStr">
        <is>
          <t>Surge default</t>
        </is>
      </c>
    </row>
    <row r="44">
      <c r="A44" s="31" t="n">
        <v>1</v>
      </c>
      <c r="B44" s="31" t="n">
        <v>10</v>
      </c>
      <c r="C44" s="32" t="n">
        <v>0.725</v>
      </c>
      <c r="D44" s="32" t="n">
        <v>0.9999546000702375</v>
      </c>
      <c r="E44" s="33" t="inlineStr">
        <is>
          <t>TS</t>
        </is>
      </c>
      <c r="F44" s="54" t="inlineStr">
        <is>
          <t>m</t>
        </is>
      </c>
      <c r="G44" s="54" t="inlineStr">
        <is>
          <t>Surge default</t>
        </is>
      </c>
    </row>
    <row r="45">
      <c r="A45" s="35" t="n">
        <v>1</v>
      </c>
      <c r="B45" s="35" t="n">
        <v>16</v>
      </c>
      <c r="C45" s="44" t="n">
        <v>0.725</v>
      </c>
      <c r="D45" s="44" t="n">
        <v>0.9999998874648253</v>
      </c>
      <c r="E45" s="34" t="inlineStr">
        <is>
          <t>TS</t>
        </is>
      </c>
      <c r="F45" s="54" t="inlineStr">
        <is>
          <t>m</t>
        </is>
      </c>
      <c r="G45" s="54" t="inlineStr">
        <is>
          <t>Surge default</t>
        </is>
      </c>
    </row>
    <row r="46">
      <c r="A46" s="47" t="n">
        <v>1</v>
      </c>
      <c r="B46" s="47" t="n">
        <v>0</v>
      </c>
      <c r="C46" s="45" t="n">
        <v>0</v>
      </c>
      <c r="D46" s="45" t="n">
        <v>0</v>
      </c>
      <c r="E46" s="47" t="inlineStr">
        <is>
          <t>WS</t>
        </is>
      </c>
      <c r="F46" s="54" t="inlineStr">
        <is>
          <t>m/s</t>
        </is>
      </c>
      <c r="G46" s="54" t="inlineStr">
        <is>
          <t>Wind default</t>
        </is>
      </c>
    </row>
    <row r="47">
      <c r="A47" s="47" t="n">
        <v>1</v>
      </c>
      <c r="B47" s="47" t="n">
        <v>5</v>
      </c>
      <c r="C47" s="45" t="n">
        <v>0</v>
      </c>
      <c r="D47" s="45" t="n">
        <v>0</v>
      </c>
      <c r="E47" s="47" t="inlineStr">
        <is>
          <t>WS</t>
        </is>
      </c>
      <c r="F47" s="54" t="inlineStr">
        <is>
          <t>m/s</t>
        </is>
      </c>
      <c r="G47" s="54" t="inlineStr">
        <is>
          <t>Wind default</t>
        </is>
      </c>
    </row>
    <row r="48">
      <c r="A48" s="47" t="n">
        <v>1</v>
      </c>
      <c r="B48" s="47" t="n">
        <v>10</v>
      </c>
      <c r="C48" s="45" t="n">
        <v>0</v>
      </c>
      <c r="D48" s="45" t="n">
        <v>0</v>
      </c>
      <c r="E48" s="47" t="inlineStr">
        <is>
          <t>WS</t>
        </is>
      </c>
      <c r="F48" s="54" t="inlineStr">
        <is>
          <t>m/s</t>
        </is>
      </c>
      <c r="G48" s="54" t="inlineStr">
        <is>
          <t>Wind default</t>
        </is>
      </c>
    </row>
    <row r="49">
      <c r="A49" s="47" t="n">
        <v>1</v>
      </c>
      <c r="B49" s="47" t="n">
        <v>15</v>
      </c>
      <c r="C49" s="45" t="n">
        <v>0</v>
      </c>
      <c r="D49" s="45" t="n">
        <v>0</v>
      </c>
      <c r="E49" s="47" t="inlineStr">
        <is>
          <t>WS</t>
        </is>
      </c>
      <c r="F49" s="54" t="inlineStr">
        <is>
          <t>m/s</t>
        </is>
      </c>
      <c r="G49" s="54" t="inlineStr">
        <is>
          <t>Wind default</t>
        </is>
      </c>
    </row>
    <row r="50">
      <c r="A50" s="47" t="n">
        <v>1</v>
      </c>
      <c r="B50" s="47" t="n">
        <v>20</v>
      </c>
      <c r="C50" s="45" t="n">
        <v>0</v>
      </c>
      <c r="D50" s="45" t="n">
        <v>0</v>
      </c>
      <c r="E50" s="47" t="inlineStr">
        <is>
          <t>WS</t>
        </is>
      </c>
      <c r="F50" s="54" t="inlineStr">
        <is>
          <t>m/s</t>
        </is>
      </c>
      <c r="G50" s="54" t="inlineStr">
        <is>
          <t>Wind default</t>
        </is>
      </c>
    </row>
    <row r="51">
      <c r="A51" s="47" t="n">
        <v>1</v>
      </c>
      <c r="B51" s="47" t="n">
        <v>25</v>
      </c>
      <c r="C51" s="45" t="n">
        <v>0.00115</v>
      </c>
      <c r="D51" s="45" t="n">
        <v>0.00115</v>
      </c>
      <c r="E51" s="47" t="inlineStr">
        <is>
          <t>WS</t>
        </is>
      </c>
      <c r="F51" s="54" t="inlineStr">
        <is>
          <t>m/s</t>
        </is>
      </c>
      <c r="G51" s="54" t="inlineStr">
        <is>
          <t>Wind default</t>
        </is>
      </c>
    </row>
    <row r="52">
      <c r="A52" s="47" t="n">
        <v>1</v>
      </c>
      <c r="B52" s="47" t="n">
        <v>30</v>
      </c>
      <c r="C52" s="45" t="n">
        <v>0.002041420118343195</v>
      </c>
      <c r="D52" s="45" t="n">
        <v>0.007774</v>
      </c>
      <c r="E52" s="47" t="inlineStr">
        <is>
          <t>WS</t>
        </is>
      </c>
      <c r="F52" s="54" t="inlineStr">
        <is>
          <t>m/s</t>
        </is>
      </c>
      <c r="G52" s="54" t="inlineStr">
        <is>
          <t>Wind default</t>
        </is>
      </c>
    </row>
    <row r="53">
      <c r="A53" s="47" t="n">
        <v>1</v>
      </c>
      <c r="B53" s="47" t="n">
        <v>35</v>
      </c>
      <c r="C53" s="45" t="n">
        <v>0.004223412394797245</v>
      </c>
      <c r="D53" s="45" t="n">
        <v>0.0450915</v>
      </c>
      <c r="E53" s="47" t="inlineStr">
        <is>
          <t>WS</t>
        </is>
      </c>
      <c r="F53" s="54" t="inlineStr">
        <is>
          <t>m/s</t>
        </is>
      </c>
      <c r="G53" s="54" t="inlineStr">
        <is>
          <t>Wind default</t>
        </is>
      </c>
    </row>
    <row r="54">
      <c r="A54" s="47" t="n">
        <v>1</v>
      </c>
      <c r="B54" s="47" t="n">
        <v>40</v>
      </c>
      <c r="C54" s="45" t="n">
        <v>0.008624731484075839</v>
      </c>
      <c r="D54" s="45" t="n">
        <v>0.1231305</v>
      </c>
      <c r="E54" s="47" t="inlineStr">
        <is>
          <t>WS</t>
        </is>
      </c>
      <c r="F54" s="54" t="inlineStr">
        <is>
          <t>m/s</t>
        </is>
      </c>
      <c r="G54" s="54" t="inlineStr">
        <is>
          <t>Wind default</t>
        </is>
      </c>
    </row>
    <row r="55">
      <c r="A55" s="47" t="n">
        <v>1</v>
      </c>
      <c r="B55" s="47" t="n">
        <v>45</v>
      </c>
      <c r="C55" s="45" t="n">
        <v>0.01453089876562685</v>
      </c>
      <c r="D55" s="45" t="n">
        <v>0.2916055</v>
      </c>
      <c r="E55" s="47" t="inlineStr">
        <is>
          <t>WS</t>
        </is>
      </c>
      <c r="F55" s="54" t="inlineStr">
        <is>
          <t>m/s</t>
        </is>
      </c>
      <c r="G55" s="54" t="inlineStr">
        <is>
          <t>Wind default</t>
        </is>
      </c>
    </row>
    <row r="56">
      <c r="A56" s="47" t="n">
        <v>1</v>
      </c>
      <c r="B56" s="47" t="n">
        <v>50</v>
      </c>
      <c r="C56" s="45" t="n">
        <v>0.02127084654893695</v>
      </c>
      <c r="D56" s="45" t="n">
        <v>0.5619934999999999</v>
      </c>
      <c r="E56" s="47" t="inlineStr">
        <is>
          <t>WS</t>
        </is>
      </c>
      <c r="F56" s="54" t="inlineStr">
        <is>
          <t>m/s</t>
        </is>
      </c>
      <c r="G56" s="54" t="inlineStr">
        <is>
          <t>Wind default</t>
        </is>
      </c>
    </row>
    <row r="57">
      <c r="A57" s="47" t="n">
        <v>1</v>
      </c>
      <c r="B57" s="47" t="n">
        <v>55</v>
      </c>
      <c r="C57" s="45" t="n">
        <v>0.02726060525649221</v>
      </c>
      <c r="D57" s="45" t="n">
        <v>0.9534304999999998</v>
      </c>
      <c r="E57" s="47" t="inlineStr">
        <is>
          <t>WS</t>
        </is>
      </c>
      <c r="F57" s="54" t="inlineStr">
        <is>
          <t>m/s</t>
        </is>
      </c>
      <c r="G57" s="54" t="inlineStr">
        <is>
          <t>Wind default</t>
        </is>
      </c>
    </row>
    <row r="58">
      <c r="A58" s="30" t="n">
        <v>1</v>
      </c>
      <c r="B58" s="30" t="n">
        <v>60</v>
      </c>
      <c r="C58" s="45" t="n">
        <v>0.04284095</v>
      </c>
      <c r="D58" s="45" t="n">
        <v>1</v>
      </c>
      <c r="E58" s="47" t="inlineStr">
        <is>
          <t>WS</t>
        </is>
      </c>
      <c r="F58" s="54" t="inlineStr">
        <is>
          <t>m/s</t>
        </is>
      </c>
      <c r="G58" s="54" t="inlineStr">
        <is>
          <t>Wind default</t>
        </is>
      </c>
    </row>
    <row r="59">
      <c r="A59" s="30" t="n">
        <v>1</v>
      </c>
      <c r="B59" s="30" t="n">
        <v>65</v>
      </c>
      <c r="C59" s="45" t="n">
        <v>0.04284095</v>
      </c>
      <c r="D59" s="45" t="n">
        <v>1</v>
      </c>
      <c r="E59" s="47" t="inlineStr">
        <is>
          <t>WS</t>
        </is>
      </c>
      <c r="F59" s="54" t="inlineStr">
        <is>
          <t>m/s</t>
        </is>
      </c>
      <c r="G59" s="54" t="inlineStr">
        <is>
          <t>Wind default</t>
        </is>
      </c>
    </row>
    <row r="60">
      <c r="A60" s="30" t="n">
        <v>1</v>
      </c>
      <c r="B60" s="30" t="n">
        <v>70</v>
      </c>
      <c r="C60" s="45" t="n">
        <v>0.04284095</v>
      </c>
      <c r="D60" s="45" t="n">
        <v>1</v>
      </c>
      <c r="E60" s="47" t="inlineStr">
        <is>
          <t>WS</t>
        </is>
      </c>
      <c r="F60" s="54" t="inlineStr">
        <is>
          <t>m/s</t>
        </is>
      </c>
      <c r="G60" s="54" t="inlineStr">
        <is>
          <t>Wind default</t>
        </is>
      </c>
    </row>
    <row r="61">
      <c r="A61" s="30" t="n">
        <v>1</v>
      </c>
      <c r="B61" s="30" t="n">
        <v>75</v>
      </c>
      <c r="C61" s="45" t="n">
        <v>0.04284095</v>
      </c>
      <c r="D61" s="45" t="n">
        <v>1</v>
      </c>
      <c r="E61" s="47" t="inlineStr">
        <is>
          <t>WS</t>
        </is>
      </c>
      <c r="F61" s="54" t="inlineStr">
        <is>
          <t>m/s</t>
        </is>
      </c>
      <c r="G61" s="54" t="inlineStr">
        <is>
          <t>Wind default</t>
        </is>
      </c>
    </row>
    <row r="62">
      <c r="A62" s="30" t="n">
        <v>1</v>
      </c>
      <c r="B62" s="30" t="n">
        <v>80</v>
      </c>
      <c r="C62" s="45" t="n">
        <v>0.04284095</v>
      </c>
      <c r="D62" s="45" t="n">
        <v>1</v>
      </c>
      <c r="E62" s="47" t="inlineStr">
        <is>
          <t>WS</t>
        </is>
      </c>
      <c r="F62" s="54" t="inlineStr">
        <is>
          <t>m/s</t>
        </is>
      </c>
      <c r="G62" s="54" t="inlineStr">
        <is>
          <t>Wind default</t>
        </is>
      </c>
    </row>
    <row r="63">
      <c r="A63" s="30" t="n">
        <v>1</v>
      </c>
      <c r="B63" s="30" t="n">
        <v>85</v>
      </c>
      <c r="C63" s="45" t="n">
        <v>0.04284095</v>
      </c>
      <c r="D63" s="45" t="n">
        <v>1</v>
      </c>
      <c r="E63" s="47" t="inlineStr">
        <is>
          <t>WS</t>
        </is>
      </c>
      <c r="F63" s="54" t="inlineStr">
        <is>
          <t>m/s</t>
        </is>
      </c>
      <c r="G63" s="54" t="inlineStr">
        <is>
          <t>Wind default</t>
        </is>
      </c>
    </row>
    <row r="64">
      <c r="A64" s="30" t="n">
        <v>1</v>
      </c>
      <c r="B64" s="30" t="n">
        <v>90</v>
      </c>
      <c r="C64" s="45" t="n">
        <v>0.04284095</v>
      </c>
      <c r="D64" s="45" t="n">
        <v>1</v>
      </c>
      <c r="E64" s="47" t="inlineStr">
        <is>
          <t>WS</t>
        </is>
      </c>
      <c r="F64" s="54" t="inlineStr">
        <is>
          <t>m/s</t>
        </is>
      </c>
      <c r="G64" s="54" t="inlineStr">
        <is>
          <t>Wind default</t>
        </is>
      </c>
    </row>
    <row r="65">
      <c r="A65" s="30" t="n">
        <v>1</v>
      </c>
      <c r="B65" s="30" t="n">
        <v>95</v>
      </c>
      <c r="C65" s="45" t="n">
        <v>0.04284095</v>
      </c>
      <c r="D65" s="45" t="n">
        <v>1</v>
      </c>
      <c r="E65" s="47" t="inlineStr">
        <is>
          <t>WS</t>
        </is>
      </c>
      <c r="F65" s="54" t="inlineStr">
        <is>
          <t>m/s</t>
        </is>
      </c>
      <c r="G65" s="54" t="inlineStr">
        <is>
          <t>Wind default</t>
        </is>
      </c>
    </row>
    <row r="66">
      <c r="A66" s="46" t="n">
        <v>1</v>
      </c>
      <c r="B66" s="46" t="n">
        <v>100</v>
      </c>
      <c r="C66" s="48" t="n">
        <v>0.04284095</v>
      </c>
      <c r="D66" s="48" t="n">
        <v>1</v>
      </c>
      <c r="E66" s="49" t="inlineStr">
        <is>
          <t>WS</t>
        </is>
      </c>
      <c r="F66" s="54" t="inlineStr">
        <is>
          <t>m/s</t>
        </is>
      </c>
      <c r="G66" s="54" t="inlineStr">
        <is>
          <t>Wind default</t>
        </is>
      </c>
    </row>
    <row r="67">
      <c r="A67" s="37" t="n">
        <v>1</v>
      </c>
      <c r="B67" s="38" t="n">
        <v>0</v>
      </c>
      <c r="C67" s="39" t="n">
        <v>0</v>
      </c>
      <c r="D67" s="40" t="n">
        <v>0</v>
      </c>
      <c r="E67" s="38" t="inlineStr">
        <is>
          <t>EQ</t>
        </is>
      </c>
      <c r="F67" s="54" t="inlineStr">
        <is>
          <t>MMI</t>
        </is>
      </c>
      <c r="G67" s="54" t="inlineStr">
        <is>
          <t>Earthquake default</t>
        </is>
      </c>
    </row>
    <row r="68">
      <c r="A68" s="37" t="n">
        <v>1</v>
      </c>
      <c r="B68" s="38" t="n">
        <v>1</v>
      </c>
      <c r="C68" s="39" t="n">
        <v>0</v>
      </c>
      <c r="D68" s="40" t="n">
        <v>0</v>
      </c>
      <c r="E68" s="38" t="inlineStr">
        <is>
          <t>EQ</t>
        </is>
      </c>
      <c r="F68" s="54" t="inlineStr">
        <is>
          <t>MMI</t>
        </is>
      </c>
      <c r="G68" s="54" t="inlineStr">
        <is>
          <t>Earthquake default</t>
        </is>
      </c>
    </row>
    <row r="69">
      <c r="A69" s="37" t="n">
        <v>1</v>
      </c>
      <c r="B69" s="38" t="n">
        <v>2</v>
      </c>
      <c r="C69" s="39" t="n">
        <v>0</v>
      </c>
      <c r="D69" s="40" t="n">
        <v>0</v>
      </c>
      <c r="E69" s="38" t="inlineStr">
        <is>
          <t>EQ</t>
        </is>
      </c>
      <c r="F69" s="54" t="inlineStr">
        <is>
          <t>MMI</t>
        </is>
      </c>
      <c r="G69" s="54" t="inlineStr">
        <is>
          <t>Earthquake default</t>
        </is>
      </c>
    </row>
    <row r="70">
      <c r="A70" s="37" t="n">
        <v>1</v>
      </c>
      <c r="B70" s="38" t="n">
        <v>3</v>
      </c>
      <c r="C70" s="39" t="n">
        <v>0</v>
      </c>
      <c r="D70" s="40" t="n">
        <v>0</v>
      </c>
      <c r="E70" s="38" t="inlineStr">
        <is>
          <t>EQ</t>
        </is>
      </c>
      <c r="F70" s="54" t="inlineStr">
        <is>
          <t>MMI</t>
        </is>
      </c>
      <c r="G70" s="54" t="inlineStr">
        <is>
          <t>Earthquake default</t>
        </is>
      </c>
    </row>
    <row r="71">
      <c r="A71" s="37" t="n">
        <v>1</v>
      </c>
      <c r="B71" s="38" t="n">
        <v>4</v>
      </c>
      <c r="C71" s="39" t="n">
        <v>0</v>
      </c>
      <c r="D71" s="40" t="n">
        <v>0</v>
      </c>
      <c r="E71" s="38" t="inlineStr">
        <is>
          <t>EQ</t>
        </is>
      </c>
      <c r="F71" s="54" t="inlineStr">
        <is>
          <t>MMI</t>
        </is>
      </c>
      <c r="G71" s="54" t="inlineStr">
        <is>
          <t>Earthquake default</t>
        </is>
      </c>
    </row>
    <row r="72">
      <c r="A72" s="37" t="n">
        <v>1</v>
      </c>
      <c r="B72" s="38" t="n">
        <v>5</v>
      </c>
      <c r="C72" s="39" t="n">
        <v>0.0095</v>
      </c>
      <c r="D72" s="40" t="n">
        <v>0.0095</v>
      </c>
      <c r="E72" s="38" t="inlineStr">
        <is>
          <t>EQ</t>
        </is>
      </c>
      <c r="F72" s="54" t="inlineStr">
        <is>
          <t>MMI</t>
        </is>
      </c>
      <c r="G72" s="54" t="inlineStr">
        <is>
          <t>Earthquake default</t>
        </is>
      </c>
    </row>
    <row r="73">
      <c r="A73" s="37" t="n">
        <v>1</v>
      </c>
      <c r="B73" s="38" t="n">
        <v>6</v>
      </c>
      <c r="C73" s="39" t="n">
        <v>0.0427</v>
      </c>
      <c r="D73" s="40" t="n">
        <v>0.0427</v>
      </c>
      <c r="E73" s="38" t="inlineStr">
        <is>
          <t>EQ</t>
        </is>
      </c>
      <c r="F73" s="54" t="inlineStr">
        <is>
          <t>MMI</t>
        </is>
      </c>
      <c r="G73" s="54" t="inlineStr">
        <is>
          <t>Earthquake default</t>
        </is>
      </c>
    </row>
    <row r="74">
      <c r="A74" s="37" t="n">
        <v>1</v>
      </c>
      <c r="B74" s="38" t="n">
        <v>7</v>
      </c>
      <c r="C74" s="39" t="n">
        <v>0.1272</v>
      </c>
      <c r="D74" s="40" t="n">
        <v>0.1272</v>
      </c>
      <c r="E74" s="38" t="inlineStr">
        <is>
          <t>EQ</t>
        </is>
      </c>
      <c r="F74" s="54" t="inlineStr">
        <is>
          <t>MMI</t>
        </is>
      </c>
      <c r="G74" s="54" t="inlineStr">
        <is>
          <t>Earthquake default</t>
        </is>
      </c>
    </row>
    <row r="75">
      <c r="A75" s="37" t="n">
        <v>1</v>
      </c>
      <c r="B75" s="38" t="n">
        <v>8</v>
      </c>
      <c r="C75" s="39" t="n">
        <v>0.2848</v>
      </c>
      <c r="D75" s="40" t="n">
        <v>0.2848</v>
      </c>
      <c r="E75" s="38" t="inlineStr">
        <is>
          <t>EQ</t>
        </is>
      </c>
      <c r="F75" s="54" t="inlineStr">
        <is>
          <t>MMI</t>
        </is>
      </c>
      <c r="G75" s="54" t="inlineStr">
        <is>
          <t>Earthquake default</t>
        </is>
      </c>
    </row>
    <row r="76">
      <c r="A76" s="37" t="n">
        <v>1</v>
      </c>
      <c r="B76" s="38" t="n">
        <v>9</v>
      </c>
      <c r="C76" s="39" t="n">
        <v>0.5</v>
      </c>
      <c r="D76" s="40" t="n">
        <v>0.5</v>
      </c>
      <c r="E76" s="38" t="inlineStr">
        <is>
          <t>EQ</t>
        </is>
      </c>
      <c r="F76" s="54" t="inlineStr">
        <is>
          <t>MMI</t>
        </is>
      </c>
      <c r="G76" s="54" t="inlineStr">
        <is>
          <t>Earthquake default</t>
        </is>
      </c>
    </row>
    <row r="77">
      <c r="A77" s="37" t="n">
        <v>1</v>
      </c>
      <c r="B77" s="38" t="n">
        <v>10</v>
      </c>
      <c r="C77" s="39" t="n">
        <v>0.7151999999999999</v>
      </c>
      <c r="D77" s="40" t="n">
        <v>0.7151999999999999</v>
      </c>
      <c r="E77" s="38" t="inlineStr">
        <is>
          <t>EQ</t>
        </is>
      </c>
      <c r="F77" s="54" t="inlineStr">
        <is>
          <t>MMI</t>
        </is>
      </c>
      <c r="G77" s="54" t="inlineStr">
        <is>
          <t>Earthquake default</t>
        </is>
      </c>
    </row>
    <row r="78">
      <c r="A78" s="37" t="n">
        <v>1</v>
      </c>
      <c r="B78" s="38" t="n">
        <v>11</v>
      </c>
      <c r="C78" s="39" t="n">
        <v>0.8728</v>
      </c>
      <c r="D78" s="40" t="n">
        <v>0.8728</v>
      </c>
      <c r="E78" s="38" t="inlineStr">
        <is>
          <t>EQ</t>
        </is>
      </c>
      <c r="F78" s="54" t="inlineStr">
        <is>
          <t>MMI</t>
        </is>
      </c>
      <c r="G78" s="54" t="inlineStr">
        <is>
          <t>Earthquake default</t>
        </is>
      </c>
    </row>
    <row r="79">
      <c r="A79" s="37" t="n">
        <v>1</v>
      </c>
      <c r="B79" s="38" t="n">
        <v>12</v>
      </c>
      <c r="C79" s="39" t="n">
        <v>0.9573</v>
      </c>
      <c r="D79" s="40" t="n">
        <v>0.9573</v>
      </c>
      <c r="E79" s="38" t="inlineStr">
        <is>
          <t>EQ</t>
        </is>
      </c>
      <c r="F79" s="54" t="inlineStr">
        <is>
          <t>MMI</t>
        </is>
      </c>
      <c r="G79" s="54" t="inlineStr">
        <is>
          <t>Earthquake default</t>
        </is>
      </c>
    </row>
    <row r="80">
      <c r="A80" s="41" t="n">
        <v>1</v>
      </c>
      <c r="B80" s="42" t="n">
        <v>13</v>
      </c>
      <c r="C80" s="50" t="n">
        <v>0.9905</v>
      </c>
      <c r="D80" s="43" t="n">
        <v>0.9905</v>
      </c>
      <c r="E80" s="42" t="inlineStr">
        <is>
          <t>EQ</t>
        </is>
      </c>
      <c r="F80" s="54" t="inlineStr">
        <is>
          <t>MMI</t>
        </is>
      </c>
      <c r="G80" s="54" t="inlineStr">
        <is>
          <t>Earthquake default</t>
        </is>
      </c>
    </row>
    <row r="81">
      <c r="A81" s="30" t="n">
        <v>1</v>
      </c>
      <c r="B81" s="30" t="n">
        <v>0</v>
      </c>
      <c r="C81" s="30" t="n">
        <v>0</v>
      </c>
      <c r="D81" s="30" t="n">
        <v>0</v>
      </c>
      <c r="E81" s="30" t="inlineStr">
        <is>
          <t>VQ</t>
        </is>
      </c>
      <c r="F81" s="54" t="inlineStr">
        <is>
          <t>cm</t>
        </is>
      </c>
      <c r="G81" s="54" t="inlineStr">
        <is>
          <t>Volcano default</t>
        </is>
      </c>
    </row>
    <row r="82">
      <c r="A82" s="30" t="n">
        <v>1</v>
      </c>
      <c r="B82" s="30" t="n">
        <v>10</v>
      </c>
      <c r="C82" s="30" t="n">
        <v>0</v>
      </c>
      <c r="D82" s="30" t="n">
        <v>0</v>
      </c>
      <c r="E82" s="30" t="inlineStr">
        <is>
          <t>VQ</t>
        </is>
      </c>
      <c r="F82" s="54" t="inlineStr">
        <is>
          <t>cm</t>
        </is>
      </c>
      <c r="G82" s="54" t="inlineStr">
        <is>
          <t>Volcano default</t>
        </is>
      </c>
    </row>
    <row r="83">
      <c r="A83" s="30" t="n">
        <v>1</v>
      </c>
      <c r="B83" s="30" t="n">
        <v>20</v>
      </c>
      <c r="C83" s="30" t="n">
        <v>0.0007</v>
      </c>
      <c r="D83" s="30" t="n">
        <v>0.001</v>
      </c>
      <c r="E83" s="30" t="inlineStr">
        <is>
          <t>VQ</t>
        </is>
      </c>
      <c r="F83" s="54" t="inlineStr">
        <is>
          <t>cm</t>
        </is>
      </c>
      <c r="G83" s="54" t="inlineStr">
        <is>
          <t>Volcano default</t>
        </is>
      </c>
    </row>
    <row r="84">
      <c r="A84" s="30" t="n">
        <v>1</v>
      </c>
      <c r="B84" s="30" t="n">
        <v>30</v>
      </c>
      <c r="C84" s="30" t="n">
        <v>0.0017</v>
      </c>
      <c r="D84" s="30" t="n">
        <v>0.0023</v>
      </c>
      <c r="E84" s="30" t="inlineStr">
        <is>
          <t>VQ</t>
        </is>
      </c>
      <c r="F84" s="54" t="inlineStr">
        <is>
          <t>cm</t>
        </is>
      </c>
      <c r="G84" s="54" t="inlineStr">
        <is>
          <t>Volcano default</t>
        </is>
      </c>
    </row>
    <row r="85">
      <c r="A85" s="30" t="n">
        <v>1</v>
      </c>
      <c r="B85" s="30" t="n">
        <v>40</v>
      </c>
      <c r="C85" s="30" t="n">
        <v>0.0031</v>
      </c>
      <c r="D85" s="30" t="n">
        <v>0.0041</v>
      </c>
      <c r="E85" s="30" t="inlineStr">
        <is>
          <t>VQ</t>
        </is>
      </c>
      <c r="F85" s="54" t="inlineStr">
        <is>
          <t>cm</t>
        </is>
      </c>
      <c r="G85" s="54" t="inlineStr">
        <is>
          <t>Volcano default</t>
        </is>
      </c>
    </row>
    <row r="86">
      <c r="A86" s="30" t="n">
        <v>1</v>
      </c>
      <c r="B86" s="30" t="n">
        <v>50</v>
      </c>
      <c r="C86" s="30" t="n">
        <v>0.0048</v>
      </c>
      <c r="D86" s="30" t="n">
        <v>0.0064</v>
      </c>
      <c r="E86" s="30" t="inlineStr">
        <is>
          <t>VQ</t>
        </is>
      </c>
      <c r="F86" s="54" t="inlineStr">
        <is>
          <t>cm</t>
        </is>
      </c>
      <c r="G86" s="54" t="inlineStr">
        <is>
          <t>Volcano default</t>
        </is>
      </c>
    </row>
    <row r="87">
      <c r="A87" s="30" t="n">
        <v>1</v>
      </c>
      <c r="B87" s="30" t="n">
        <v>60</v>
      </c>
      <c r="C87" s="30" t="n">
        <v>0.0071</v>
      </c>
      <c r="D87" s="30" t="n">
        <v>0.0095</v>
      </c>
      <c r="E87" s="30" t="inlineStr">
        <is>
          <t>VQ</t>
        </is>
      </c>
      <c r="F87" s="54" t="inlineStr">
        <is>
          <t>cm</t>
        </is>
      </c>
      <c r="G87" s="54" t="inlineStr">
        <is>
          <t>Volcano default</t>
        </is>
      </c>
    </row>
    <row r="88">
      <c r="A88" s="30" t="n">
        <v>1</v>
      </c>
      <c r="B88" s="30" t="n">
        <v>70</v>
      </c>
      <c r="C88" s="30" t="n">
        <v>0.0101</v>
      </c>
      <c r="D88" s="30" t="n">
        <v>0.0135</v>
      </c>
      <c r="E88" s="30" t="inlineStr">
        <is>
          <t>VQ</t>
        </is>
      </c>
      <c r="F88" s="54" t="inlineStr">
        <is>
          <t>cm</t>
        </is>
      </c>
      <c r="G88" s="54" t="inlineStr">
        <is>
          <t>Volcano default</t>
        </is>
      </c>
    </row>
    <row r="89">
      <c r="A89" s="30" t="n">
        <v>1</v>
      </c>
      <c r="B89" s="30" t="n">
        <v>80</v>
      </c>
      <c r="C89" s="30" t="n">
        <v>0.0139</v>
      </c>
      <c r="D89" s="30" t="n">
        <v>0.0186</v>
      </c>
      <c r="E89" s="30" t="inlineStr">
        <is>
          <t>VQ</t>
        </is>
      </c>
      <c r="F89" s="54" t="inlineStr">
        <is>
          <t>cm</t>
        </is>
      </c>
      <c r="G89" s="54" t="inlineStr">
        <is>
          <t>Volcano default</t>
        </is>
      </c>
    </row>
    <row r="90">
      <c r="A90" s="30" t="n">
        <v>1</v>
      </c>
      <c r="B90" s="30" t="n">
        <v>90</v>
      </c>
      <c r="C90" s="30" t="n">
        <v>0.0187</v>
      </c>
      <c r="D90" s="30" t="n">
        <v>0.025</v>
      </c>
      <c r="E90" s="30" t="inlineStr">
        <is>
          <t>VQ</t>
        </is>
      </c>
      <c r="F90" s="54" t="inlineStr">
        <is>
          <t>cm</t>
        </is>
      </c>
      <c r="G90" s="54" t="inlineStr">
        <is>
          <t>Volcano default</t>
        </is>
      </c>
    </row>
    <row r="91">
      <c r="A91" s="30" t="n">
        <v>1</v>
      </c>
      <c r="B91" s="30" t="n">
        <v>100</v>
      </c>
      <c r="C91" s="30" t="n">
        <v>0.0247</v>
      </c>
      <c r="D91" s="30" t="n">
        <v>0.0329</v>
      </c>
      <c r="E91" s="30" t="inlineStr">
        <is>
          <t>VQ</t>
        </is>
      </c>
      <c r="F91" s="54" t="inlineStr">
        <is>
          <t>cm</t>
        </is>
      </c>
      <c r="G91" s="54" t="inlineStr">
        <is>
          <t>Volcano default</t>
        </is>
      </c>
    </row>
    <row r="92">
      <c r="A92" s="30" t="n">
        <v>1</v>
      </c>
      <c r="B92" s="30" t="n">
        <v>110</v>
      </c>
      <c r="C92" s="30" t="n">
        <v>0.032</v>
      </c>
      <c r="D92" s="30" t="n">
        <v>0.0427</v>
      </c>
      <c r="E92" s="30" t="inlineStr">
        <is>
          <t>VQ</t>
        </is>
      </c>
      <c r="F92" s="54" t="inlineStr">
        <is>
          <t>cm</t>
        </is>
      </c>
      <c r="G92" s="54" t="inlineStr">
        <is>
          <t>Volcano default</t>
        </is>
      </c>
    </row>
    <row r="93">
      <c r="A93" s="30" t="n">
        <v>1</v>
      </c>
      <c r="B93" s="30" t="n">
        <v>120</v>
      </c>
      <c r="C93" s="30" t="n">
        <v>0.0409</v>
      </c>
      <c r="D93" s="30" t="n">
        <v>0.0545</v>
      </c>
      <c r="E93" s="30" t="inlineStr">
        <is>
          <t>VQ</t>
        </is>
      </c>
      <c r="F93" s="54" t="inlineStr">
        <is>
          <t>cm</t>
        </is>
      </c>
      <c r="G93" s="54" t="inlineStr">
        <is>
          <t>Volcano default</t>
        </is>
      </c>
    </row>
    <row r="94">
      <c r="A94" s="30" t="n">
        <v>1</v>
      </c>
      <c r="B94" s="30" t="n">
        <v>130</v>
      </c>
      <c r="C94" s="30" t="n">
        <v>0.0515</v>
      </c>
      <c r="D94" s="30" t="n">
        <v>0.0687</v>
      </c>
      <c r="E94" s="30" t="inlineStr">
        <is>
          <t>VQ</t>
        </is>
      </c>
      <c r="F94" s="54" t="inlineStr">
        <is>
          <t>cm</t>
        </is>
      </c>
      <c r="G94" s="54" t="inlineStr">
        <is>
          <t>Volcano default</t>
        </is>
      </c>
    </row>
    <row r="95">
      <c r="A95" s="30" t="n">
        <v>1</v>
      </c>
      <c r="B95" s="30" t="n">
        <v>140</v>
      </c>
      <c r="C95" s="30" t="n">
        <v>0.064</v>
      </c>
      <c r="D95" s="30" t="n">
        <v>0.0853</v>
      </c>
      <c r="E95" s="30" t="inlineStr">
        <is>
          <t>VQ</t>
        </is>
      </c>
      <c r="F95" s="54" t="inlineStr">
        <is>
          <t>cm</t>
        </is>
      </c>
      <c r="G95" s="54" t="inlineStr">
        <is>
          <t>Volcano default</t>
        </is>
      </c>
    </row>
    <row r="96">
      <c r="A96" s="30" t="n">
        <v>1</v>
      </c>
      <c r="B96" s="30" t="n">
        <v>150</v>
      </c>
      <c r="C96" s="30" t="n">
        <v>0.0786</v>
      </c>
      <c r="D96" s="30" t="n">
        <v>0.1048</v>
      </c>
      <c r="E96" s="30" t="inlineStr">
        <is>
          <t>VQ</t>
        </is>
      </c>
      <c r="F96" s="54" t="inlineStr">
        <is>
          <t>cm</t>
        </is>
      </c>
      <c r="G96" s="54" t="inlineStr">
        <is>
          <t>Volcano default</t>
        </is>
      </c>
    </row>
    <row r="97">
      <c r="A97" s="30" t="n">
        <v>1</v>
      </c>
      <c r="B97" s="30" t="n">
        <v>160</v>
      </c>
      <c r="C97" s="30" t="n">
        <v>0.0954</v>
      </c>
      <c r="D97" s="30" t="n">
        <v>0.1272</v>
      </c>
      <c r="E97" s="30" t="inlineStr">
        <is>
          <t>VQ</t>
        </is>
      </c>
      <c r="F97" s="54" t="inlineStr">
        <is>
          <t>cm</t>
        </is>
      </c>
      <c r="G97" s="54" t="inlineStr">
        <is>
          <t>Volcano default</t>
        </is>
      </c>
    </row>
    <row r="98">
      <c r="A98" s="30" t="n">
        <v>1</v>
      </c>
      <c r="B98" s="30" t="n">
        <v>170</v>
      </c>
      <c r="C98" s="30" t="n">
        <v>0.1145</v>
      </c>
      <c r="D98" s="30" t="n">
        <v>0.1527</v>
      </c>
      <c r="E98" s="30" t="inlineStr">
        <is>
          <t>VQ</t>
        </is>
      </c>
      <c r="F98" s="54" t="inlineStr">
        <is>
          <t>cm</t>
        </is>
      </c>
      <c r="G98" s="54" t="inlineStr">
        <is>
          <t>Volcano default</t>
        </is>
      </c>
    </row>
    <row r="99">
      <c r="A99" s="30" t="n">
        <v>1</v>
      </c>
      <c r="B99" s="30" t="n">
        <v>180</v>
      </c>
      <c r="C99" s="30" t="n">
        <v>0.1359</v>
      </c>
      <c r="D99" s="30" t="n">
        <v>0.1812</v>
      </c>
      <c r="E99" s="30" t="inlineStr">
        <is>
          <t>VQ</t>
        </is>
      </c>
      <c r="F99" s="54" t="inlineStr">
        <is>
          <t>cm</t>
        </is>
      </c>
      <c r="G99" s="54" t="inlineStr">
        <is>
          <t>Volcano default</t>
        </is>
      </c>
    </row>
    <row r="100">
      <c r="A100" s="30" t="n">
        <v>1</v>
      </c>
      <c r="B100" s="30" t="n">
        <v>190</v>
      </c>
      <c r="C100" s="30" t="n">
        <v>0.1596</v>
      </c>
      <c r="D100" s="30" t="n">
        <v>0.2128</v>
      </c>
      <c r="E100" s="30" t="inlineStr">
        <is>
          <t>VQ</t>
        </is>
      </c>
      <c r="F100" s="54" t="inlineStr">
        <is>
          <t>cm</t>
        </is>
      </c>
      <c r="G100" s="54" t="inlineStr">
        <is>
          <t>Volcano default</t>
        </is>
      </c>
    </row>
    <row r="101">
      <c r="A101" s="30" t="n">
        <v>1</v>
      </c>
      <c r="B101" s="30" t="n">
        <v>200</v>
      </c>
      <c r="C101" s="30" t="n">
        <v>0.1856</v>
      </c>
      <c r="D101" s="30" t="n">
        <v>0.2474</v>
      </c>
      <c r="E101" s="30" t="inlineStr">
        <is>
          <t>VQ</t>
        </is>
      </c>
      <c r="F101" s="54" t="inlineStr">
        <is>
          <t>cm</t>
        </is>
      </c>
      <c r="G101" s="54" t="inlineStr">
        <is>
          <t>Volcano default</t>
        </is>
      </c>
    </row>
    <row r="102">
      <c r="A102" s="30" t="n">
        <v>1</v>
      </c>
      <c r="B102" s="30" t="n">
        <v>210</v>
      </c>
      <c r="C102" s="30" t="n">
        <v>0.2136</v>
      </c>
      <c r="D102" s="30" t="n">
        <v>0.2848</v>
      </c>
      <c r="E102" s="30" t="inlineStr">
        <is>
          <t>VQ</t>
        </is>
      </c>
      <c r="F102" s="54" t="inlineStr">
        <is>
          <t>cm</t>
        </is>
      </c>
      <c r="G102" s="54" t="inlineStr">
        <is>
          <t>Volcano default</t>
        </is>
      </c>
    </row>
    <row r="103">
      <c r="A103" s="30" t="n">
        <v>1</v>
      </c>
      <c r="B103" s="30" t="n">
        <v>220</v>
      </c>
      <c r="C103" s="30" t="n">
        <v>0.2435</v>
      </c>
      <c r="D103" s="30" t="n">
        <v>0.3246</v>
      </c>
      <c r="E103" s="30" t="inlineStr">
        <is>
          <t>VQ</t>
        </is>
      </c>
      <c r="F103" s="54" t="inlineStr">
        <is>
          <t>cm</t>
        </is>
      </c>
      <c r="G103" s="54" t="inlineStr">
        <is>
          <t>Volcano default</t>
        </is>
      </c>
    </row>
    <row r="104">
      <c r="A104" s="30" t="n">
        <v>1</v>
      </c>
      <c r="B104" s="30" t="n">
        <v>230</v>
      </c>
      <c r="C104" s="30" t="n">
        <v>0.2749</v>
      </c>
      <c r="D104" s="30" t="n">
        <v>0.3665</v>
      </c>
      <c r="E104" s="30" t="inlineStr">
        <is>
          <t>VQ</t>
        </is>
      </c>
      <c r="F104" s="54" t="inlineStr">
        <is>
          <t>cm</t>
        </is>
      </c>
      <c r="G104" s="54" t="inlineStr">
        <is>
          <t>Volcano default</t>
        </is>
      </c>
    </row>
    <row r="105">
      <c r="A105" s="30" t="n">
        <v>1</v>
      </c>
      <c r="B105" s="30" t="n">
        <v>240</v>
      </c>
      <c r="C105" s="30" t="n">
        <v>0.3076</v>
      </c>
      <c r="D105" s="30" t="n">
        <v>0.4101</v>
      </c>
      <c r="E105" s="30" t="inlineStr">
        <is>
          <t>VQ</t>
        </is>
      </c>
      <c r="F105" s="54" t="inlineStr">
        <is>
          <t>cm</t>
        </is>
      </c>
      <c r="G105" s="54" t="inlineStr">
        <is>
          <t>Volcano default</t>
        </is>
      </c>
    </row>
    <row r="106">
      <c r="A106" s="30" t="n">
        <v>1</v>
      </c>
      <c r="B106" s="30" t="n">
        <v>250</v>
      </c>
      <c r="C106" s="30" t="n">
        <v>0.3411</v>
      </c>
      <c r="D106" s="30" t="n">
        <v>0.4547</v>
      </c>
      <c r="E106" s="30" t="inlineStr">
        <is>
          <t>VQ</t>
        </is>
      </c>
      <c r="F106" s="54" t="inlineStr">
        <is>
          <t>cm</t>
        </is>
      </c>
      <c r="G106" s="54" t="inlineStr">
        <is>
          <t>Volcano default</t>
        </is>
      </c>
    </row>
    <row r="107">
      <c r="A107" s="30" t="n">
        <v>1</v>
      </c>
      <c r="B107" s="30" t="n">
        <v>260</v>
      </c>
      <c r="C107" s="30" t="n">
        <v>0.375</v>
      </c>
      <c r="D107" s="30" t="n">
        <v>0.5</v>
      </c>
      <c r="E107" s="30" t="inlineStr">
        <is>
          <t>VQ</t>
        </is>
      </c>
      <c r="F107" s="54" t="inlineStr">
        <is>
          <t>cm</t>
        </is>
      </c>
      <c r="G107" s="54" t="inlineStr">
        <is>
          <t>Volcano default</t>
        </is>
      </c>
    </row>
    <row r="108">
      <c r="A108" s="30" t="n">
        <v>1</v>
      </c>
      <c r="B108" s="30" t="n">
        <v>270</v>
      </c>
      <c r="C108" s="30" t="n">
        <v>0.4089</v>
      </c>
      <c r="D108" s="30" t="n">
        <v>0.5453</v>
      </c>
      <c r="E108" s="30" t="inlineStr">
        <is>
          <t>VQ</t>
        </is>
      </c>
      <c r="F108" s="54" t="inlineStr">
        <is>
          <t>cm</t>
        </is>
      </c>
      <c r="G108" s="54" t="inlineStr">
        <is>
          <t>Volcano default</t>
        </is>
      </c>
    </row>
    <row r="109">
      <c r="A109" s="30" t="n">
        <v>1</v>
      </c>
      <c r="B109" s="30" t="n">
        <v>280</v>
      </c>
      <c r="C109" s="30" t="n">
        <v>0.4424</v>
      </c>
      <c r="D109" s="30" t="n">
        <v>0.5899</v>
      </c>
      <c r="E109" s="30" t="inlineStr">
        <is>
          <t>VQ</t>
        </is>
      </c>
      <c r="F109" s="54" t="inlineStr">
        <is>
          <t>cm</t>
        </is>
      </c>
      <c r="G109" s="54" t="inlineStr">
        <is>
          <t>Volcano default</t>
        </is>
      </c>
    </row>
    <row r="110">
      <c r="A110" s="30" t="n">
        <v>1</v>
      </c>
      <c r="B110" s="30" t="n">
        <v>290</v>
      </c>
      <c r="C110" s="30" t="n">
        <v>0.4751</v>
      </c>
      <c r="D110" s="30" t="n">
        <v>0.6335</v>
      </c>
      <c r="E110" s="30" t="inlineStr">
        <is>
          <t>VQ</t>
        </is>
      </c>
      <c r="F110" s="54" t="inlineStr">
        <is>
          <t>cm</t>
        </is>
      </c>
      <c r="G110" s="54" t="inlineStr">
        <is>
          <t>Volcano default</t>
        </is>
      </c>
    </row>
    <row r="111">
      <c r="A111" s="30" t="n">
        <v>1</v>
      </c>
      <c r="B111" s="30" t="n">
        <v>300</v>
      </c>
      <c r="C111" s="30" t="n">
        <v>0.5065</v>
      </c>
      <c r="D111" s="30" t="n">
        <v>0.6754</v>
      </c>
      <c r="E111" s="30" t="inlineStr">
        <is>
          <t>VQ</t>
        </is>
      </c>
      <c r="F111" s="54" t="inlineStr">
        <is>
          <t>cm</t>
        </is>
      </c>
      <c r="G111" s="54" t="inlineStr">
        <is>
          <t>Volcano default</t>
        </is>
      </c>
    </row>
    <row r="112">
      <c r="A112" s="30" t="n">
        <v>1</v>
      </c>
      <c r="B112" s="30" t="n">
        <v>310</v>
      </c>
      <c r="C112" s="30" t="n">
        <v>0.5364</v>
      </c>
      <c r="D112" s="30" t="n">
        <v>0.7151999999999999</v>
      </c>
      <c r="E112" s="30" t="inlineStr">
        <is>
          <t>VQ</t>
        </is>
      </c>
      <c r="F112" s="54" t="inlineStr">
        <is>
          <t>cm</t>
        </is>
      </c>
      <c r="G112" s="54" t="inlineStr">
        <is>
          <t>Volcano default</t>
        </is>
      </c>
    </row>
    <row r="113">
      <c r="A113" s="30" t="n">
        <v>1</v>
      </c>
      <c r="B113" s="30" t="n">
        <v>320</v>
      </c>
      <c r="C113" s="30" t="n">
        <v>0.5644</v>
      </c>
      <c r="D113" s="30" t="n">
        <v>0.7526</v>
      </c>
      <c r="E113" s="30" t="inlineStr">
        <is>
          <t>VQ</t>
        </is>
      </c>
      <c r="F113" s="54" t="inlineStr">
        <is>
          <t>cm</t>
        </is>
      </c>
      <c r="G113" s="54" t="inlineStr">
        <is>
          <t>Volcano default</t>
        </is>
      </c>
    </row>
    <row r="114">
      <c r="A114" s="30" t="n">
        <v>1</v>
      </c>
      <c r="B114" s="30" t="n">
        <v>330</v>
      </c>
      <c r="C114" s="30" t="n">
        <v>0.5904</v>
      </c>
      <c r="D114" s="30" t="n">
        <v>0.7872</v>
      </c>
      <c r="E114" s="30" t="inlineStr">
        <is>
          <t>VQ</t>
        </is>
      </c>
      <c r="F114" s="54" t="inlineStr">
        <is>
          <t>cm</t>
        </is>
      </c>
      <c r="G114" s="54" t="inlineStr">
        <is>
          <t>Volcano default</t>
        </is>
      </c>
    </row>
    <row r="115">
      <c r="A115" s="30" t="n">
        <v>1</v>
      </c>
      <c r="B115" s="30" t="n">
        <v>340</v>
      </c>
      <c r="C115" s="30" t="n">
        <v>0.6141</v>
      </c>
      <c r="D115" s="30" t="n">
        <v>0.8188</v>
      </c>
      <c r="E115" s="30" t="inlineStr">
        <is>
          <t>VQ</t>
        </is>
      </c>
      <c r="F115" s="54" t="inlineStr">
        <is>
          <t>cm</t>
        </is>
      </c>
      <c r="G115" s="54" t="inlineStr">
        <is>
          <t>Volcano default</t>
        </is>
      </c>
    </row>
    <row r="116">
      <c r="A116" s="30" t="n">
        <v>1</v>
      </c>
      <c r="B116" s="30" t="n">
        <v>350</v>
      </c>
      <c r="C116" s="30" t="n">
        <v>0.6355</v>
      </c>
      <c r="D116" s="30" t="n">
        <v>0.8473000000000001</v>
      </c>
      <c r="E116" s="30" t="inlineStr">
        <is>
          <t>VQ</t>
        </is>
      </c>
      <c r="F116" s="54" t="inlineStr">
        <is>
          <t>cm</t>
        </is>
      </c>
      <c r="G116" s="54" t="inlineStr">
        <is>
          <t>Volcano default</t>
        </is>
      </c>
    </row>
    <row r="117">
      <c r="A117" s="30" t="n">
        <v>1</v>
      </c>
      <c r="B117" s="30" t="n">
        <v>360</v>
      </c>
      <c r="C117" s="30" t="n">
        <v>0.6546</v>
      </c>
      <c r="D117" s="30" t="n">
        <v>0.8728</v>
      </c>
      <c r="E117" s="30" t="inlineStr">
        <is>
          <t>VQ</t>
        </is>
      </c>
      <c r="F117" s="54" t="inlineStr">
        <is>
          <t>cm</t>
        </is>
      </c>
      <c r="G117" s="54" t="inlineStr">
        <is>
          <t>Volcano default</t>
        </is>
      </c>
    </row>
    <row r="118">
      <c r="A118" s="30" t="n">
        <v>1</v>
      </c>
      <c r="B118" s="30" t="n">
        <v>370</v>
      </c>
      <c r="C118" s="30" t="n">
        <v>0.6714</v>
      </c>
      <c r="D118" s="30" t="n">
        <v>0.8952</v>
      </c>
      <c r="E118" s="30" t="inlineStr">
        <is>
          <t>VQ</t>
        </is>
      </c>
      <c r="F118" s="54" t="inlineStr">
        <is>
          <t>cm</t>
        </is>
      </c>
      <c r="G118" s="54" t="inlineStr">
        <is>
          <t>Volcano default</t>
        </is>
      </c>
    </row>
    <row r="119">
      <c r="A119" s="30" t="n">
        <v>1</v>
      </c>
      <c r="B119" s="30" t="n">
        <v>380</v>
      </c>
      <c r="C119" s="30" t="n">
        <v>0.6860000000000001</v>
      </c>
      <c r="D119" s="30" t="n">
        <v>0.9147</v>
      </c>
      <c r="E119" s="30" t="inlineStr">
        <is>
          <t>VQ</t>
        </is>
      </c>
      <c r="F119" s="54" t="inlineStr">
        <is>
          <t>cm</t>
        </is>
      </c>
      <c r="G119" s="54" t="inlineStr">
        <is>
          <t>Volcano default</t>
        </is>
      </c>
    </row>
    <row r="120">
      <c r="A120" s="30" t="n">
        <v>1</v>
      </c>
      <c r="B120" s="30" t="n">
        <v>390</v>
      </c>
      <c r="C120" s="30" t="n">
        <v>0.6985</v>
      </c>
      <c r="D120" s="30" t="n">
        <v>0.9313</v>
      </c>
      <c r="E120" s="30" t="inlineStr">
        <is>
          <t>VQ</t>
        </is>
      </c>
      <c r="F120" s="54" t="inlineStr">
        <is>
          <t>cm</t>
        </is>
      </c>
      <c r="G120" s="54" t="inlineStr">
        <is>
          <t>Volcano default</t>
        </is>
      </c>
    </row>
    <row r="121">
      <c r="A121" s="30" t="n">
        <v>1</v>
      </c>
      <c r="B121" s="30" t="n">
        <v>400</v>
      </c>
      <c r="C121" s="30" t="n">
        <v>0.7091</v>
      </c>
      <c r="D121" s="30" t="n">
        <v>0.9455</v>
      </c>
      <c r="E121" s="30" t="inlineStr">
        <is>
          <t>VQ</t>
        </is>
      </c>
      <c r="F121" s="54" t="inlineStr">
        <is>
          <t>cm</t>
        </is>
      </c>
      <c r="G121" s="54" t="inlineStr">
        <is>
          <t>Volcano default</t>
        </is>
      </c>
    </row>
    <row r="122">
      <c r="A122" s="30" t="n">
        <v>1</v>
      </c>
      <c r="B122" s="30" t="n">
        <v>410</v>
      </c>
      <c r="C122" s="30" t="n">
        <v>0.718</v>
      </c>
      <c r="D122" s="30" t="n">
        <v>0.9573</v>
      </c>
      <c r="E122" s="30" t="inlineStr">
        <is>
          <t>VQ</t>
        </is>
      </c>
      <c r="F122" s="54" t="inlineStr">
        <is>
          <t>cm</t>
        </is>
      </c>
      <c r="G122" s="54" t="inlineStr">
        <is>
          <t>Volcano default</t>
        </is>
      </c>
    </row>
    <row r="123">
      <c r="A123" s="30" t="n">
        <v>1</v>
      </c>
      <c r="B123" s="30" t="n">
        <v>420</v>
      </c>
      <c r="C123" s="30" t="n">
        <v>0.7252999999999999</v>
      </c>
      <c r="D123" s="30" t="n">
        <v>0.9671</v>
      </c>
      <c r="E123" s="30" t="inlineStr">
        <is>
          <t>VQ</t>
        </is>
      </c>
      <c r="F123" s="54" t="inlineStr">
        <is>
          <t>cm</t>
        </is>
      </c>
      <c r="G123" s="54" t="inlineStr">
        <is>
          <t>Volcano default</t>
        </is>
      </c>
    </row>
    <row r="124">
      <c r="A124" s="30" t="n">
        <v>1</v>
      </c>
      <c r="B124" s="30" t="n">
        <v>430</v>
      </c>
      <c r="C124" s="30" t="n">
        <v>0.7313</v>
      </c>
      <c r="D124" s="30" t="n">
        <v>0.975</v>
      </c>
      <c r="E124" s="30" t="inlineStr">
        <is>
          <t>VQ</t>
        </is>
      </c>
      <c r="F124" s="54" t="inlineStr">
        <is>
          <t>cm</t>
        </is>
      </c>
      <c r="G124" s="54" t="inlineStr">
        <is>
          <t>Volcano default</t>
        </is>
      </c>
    </row>
    <row r="125">
      <c r="A125" s="30" t="n">
        <v>1</v>
      </c>
      <c r="B125" s="30" t="n">
        <v>440</v>
      </c>
      <c r="C125" s="30" t="n">
        <v>0.7361</v>
      </c>
      <c r="D125" s="30" t="n">
        <v>0.9814000000000001</v>
      </c>
      <c r="E125" s="30" t="inlineStr">
        <is>
          <t>VQ</t>
        </is>
      </c>
      <c r="F125" s="54" t="inlineStr">
        <is>
          <t>cm</t>
        </is>
      </c>
      <c r="G125" s="54" t="inlineStr">
        <is>
          <t>Volcano default</t>
        </is>
      </c>
    </row>
    <row r="126">
      <c r="A126" s="30" t="n">
        <v>1</v>
      </c>
      <c r="B126" s="30" t="n">
        <v>450</v>
      </c>
      <c r="C126" s="30" t="n">
        <v>0.7399</v>
      </c>
      <c r="D126" s="30" t="n">
        <v>0.9865</v>
      </c>
      <c r="E126" s="30" t="inlineStr">
        <is>
          <t>VQ</t>
        </is>
      </c>
      <c r="F126" s="54" t="inlineStr">
        <is>
          <t>cm</t>
        </is>
      </c>
      <c r="G126" s="54" t="inlineStr">
        <is>
          <t>Volcano default</t>
        </is>
      </c>
    </row>
    <row r="127">
      <c r="A127" s="30" t="n">
        <v>1</v>
      </c>
      <c r="B127" s="30" t="n">
        <v>460</v>
      </c>
      <c r="C127" s="30" t="n">
        <v>0.7429</v>
      </c>
      <c r="D127" s="30" t="n">
        <v>0.9905</v>
      </c>
      <c r="E127" s="30" t="inlineStr">
        <is>
          <t>VQ</t>
        </is>
      </c>
      <c r="F127" s="54" t="inlineStr">
        <is>
          <t>cm</t>
        </is>
      </c>
      <c r="G127" s="54" t="inlineStr">
        <is>
          <t>Volcano default</t>
        </is>
      </c>
    </row>
    <row r="128">
      <c r="A128" s="30" t="n">
        <v>1</v>
      </c>
      <c r="B128" s="30" t="n">
        <v>470</v>
      </c>
      <c r="C128" s="30" t="n">
        <v>0.7452</v>
      </c>
      <c r="D128" s="30" t="n">
        <v>0.9936</v>
      </c>
      <c r="E128" s="30" t="inlineStr">
        <is>
          <t>VQ</t>
        </is>
      </c>
      <c r="F128" s="54" t="inlineStr">
        <is>
          <t>cm</t>
        </is>
      </c>
      <c r="G128" s="54" t="inlineStr">
        <is>
          <t>Volcano default</t>
        </is>
      </c>
    </row>
    <row r="129">
      <c r="A129" s="30" t="n">
        <v>1</v>
      </c>
      <c r="B129" s="30" t="n">
        <v>480</v>
      </c>
      <c r="C129" s="30" t="n">
        <v>0.7469</v>
      </c>
      <c r="D129" s="30" t="n">
        <v>0.9959</v>
      </c>
      <c r="E129" s="30" t="inlineStr">
        <is>
          <t>VQ</t>
        </is>
      </c>
      <c r="F129" s="54" t="inlineStr">
        <is>
          <t>cm</t>
        </is>
      </c>
      <c r="G129" s="54" t="inlineStr">
        <is>
          <t>Volcano default</t>
        </is>
      </c>
    </row>
    <row r="130">
      <c r="A130" s="30" t="n">
        <v>1</v>
      </c>
      <c r="B130" s="30" t="n">
        <v>490</v>
      </c>
      <c r="C130" s="30" t="n">
        <v>0.7483</v>
      </c>
      <c r="D130" s="30" t="n">
        <v>0.9977</v>
      </c>
      <c r="E130" s="30" t="inlineStr">
        <is>
          <t>VQ</t>
        </is>
      </c>
      <c r="F130" s="54" t="inlineStr">
        <is>
          <t>cm</t>
        </is>
      </c>
      <c r="G130" s="54" t="inlineStr">
        <is>
          <t>Volcano default</t>
        </is>
      </c>
    </row>
    <row r="131">
      <c r="A131" s="46" t="n">
        <v>1</v>
      </c>
      <c r="B131" s="46" t="n">
        <v>500</v>
      </c>
      <c r="C131" s="46" t="n">
        <v>0.7493</v>
      </c>
      <c r="D131" s="46" t="n">
        <v>0.999</v>
      </c>
      <c r="E131" s="46" t="inlineStr">
        <is>
          <t>VQ</t>
        </is>
      </c>
      <c r="F131" s="54" t="inlineStr">
        <is>
          <t>cm</t>
        </is>
      </c>
      <c r="G131" s="54" t="inlineStr">
        <is>
          <t>Volcano default</t>
        </is>
      </c>
    </row>
    <row r="132">
      <c r="A132" s="33" t="n">
        <v>1</v>
      </c>
      <c r="B132" s="33" t="n">
        <v>0</v>
      </c>
      <c r="C132" s="33" t="n">
        <v>0</v>
      </c>
      <c r="D132" s="33" t="n">
        <v>0</v>
      </c>
      <c r="E132" s="33" t="inlineStr">
        <is>
          <t>TR</t>
        </is>
      </c>
      <c r="F132" s="54" t="inlineStr">
        <is>
          <t>mm</t>
        </is>
      </c>
      <c r="G132" s="54" t="inlineStr">
        <is>
          <t>Tropical rain default</t>
        </is>
      </c>
    </row>
    <row r="133">
      <c r="A133" s="33" t="n">
        <v>1</v>
      </c>
      <c r="B133" s="33" t="n">
        <v>50</v>
      </c>
      <c r="C133" s="33" t="n">
        <v>0</v>
      </c>
      <c r="D133" s="33" t="n">
        <v>0</v>
      </c>
      <c r="E133" s="33" t="inlineStr">
        <is>
          <t>TR</t>
        </is>
      </c>
      <c r="F133" s="54" t="inlineStr">
        <is>
          <t>mm</t>
        </is>
      </c>
      <c r="G133" s="54" t="inlineStr">
        <is>
          <t>Tropical rain default</t>
        </is>
      </c>
    </row>
    <row r="134">
      <c r="A134" s="33" t="n">
        <v>1</v>
      </c>
      <c r="B134" s="33" t="n">
        <v>100</v>
      </c>
      <c r="C134" s="33" t="n">
        <v>0</v>
      </c>
      <c r="D134" s="33" t="n">
        <v>0</v>
      </c>
      <c r="E134" s="33" t="inlineStr">
        <is>
          <t>TR</t>
        </is>
      </c>
      <c r="F134" s="54" t="inlineStr">
        <is>
          <t>mm</t>
        </is>
      </c>
      <c r="G134" s="54" t="inlineStr">
        <is>
          <t>Tropical rain default</t>
        </is>
      </c>
    </row>
    <row r="135">
      <c r="A135" s="33" t="n">
        <v>1</v>
      </c>
      <c r="B135" s="33" t="n">
        <v>150</v>
      </c>
      <c r="C135" s="33" t="n">
        <v>0</v>
      </c>
      <c r="D135" s="33" t="n">
        <v>0</v>
      </c>
      <c r="E135" s="33" t="inlineStr">
        <is>
          <t>TR</t>
        </is>
      </c>
      <c r="F135" s="54" t="inlineStr">
        <is>
          <t>mm</t>
        </is>
      </c>
      <c r="G135" s="54" t="inlineStr">
        <is>
          <t>Tropical rain default</t>
        </is>
      </c>
    </row>
    <row r="136">
      <c r="A136" s="33" t="n">
        <v>1</v>
      </c>
      <c r="B136" s="33" t="n">
        <v>200</v>
      </c>
      <c r="C136" s="33" t="n">
        <v>0</v>
      </c>
      <c r="D136" s="33" t="n">
        <v>0</v>
      </c>
      <c r="E136" s="33" t="inlineStr">
        <is>
          <t>TR</t>
        </is>
      </c>
      <c r="F136" s="54" t="inlineStr">
        <is>
          <t>mm</t>
        </is>
      </c>
      <c r="G136" s="54" t="inlineStr">
        <is>
          <t>Tropical rain default</t>
        </is>
      </c>
    </row>
    <row r="137">
      <c r="A137" s="33" t="n">
        <v>1</v>
      </c>
      <c r="B137" s="33" t="n">
        <v>250</v>
      </c>
      <c r="C137" s="33" t="n">
        <v>0</v>
      </c>
      <c r="D137" s="33" t="n">
        <v>0</v>
      </c>
      <c r="E137" s="33" t="inlineStr">
        <is>
          <t>TR</t>
        </is>
      </c>
      <c r="F137" s="54" t="inlineStr">
        <is>
          <t>mm</t>
        </is>
      </c>
      <c r="G137" s="54" t="inlineStr">
        <is>
          <t>Tropical rain default</t>
        </is>
      </c>
    </row>
    <row r="138">
      <c r="A138" s="33" t="n">
        <v>1</v>
      </c>
      <c r="B138" s="33" t="n">
        <v>300</v>
      </c>
      <c r="C138" s="33" t="n">
        <v>0</v>
      </c>
      <c r="D138" s="33" t="n">
        <v>0</v>
      </c>
      <c r="E138" s="33" t="inlineStr">
        <is>
          <t>TR</t>
        </is>
      </c>
      <c r="F138" s="54" t="inlineStr">
        <is>
          <t>mm</t>
        </is>
      </c>
      <c r="G138" s="54" t="inlineStr">
        <is>
          <t>Tropical rain default</t>
        </is>
      </c>
    </row>
    <row r="139">
      <c r="A139" s="33" t="n">
        <v>1</v>
      </c>
      <c r="B139" s="33" t="n">
        <v>350</v>
      </c>
      <c r="C139" s="33" t="n">
        <v>0.0013</v>
      </c>
      <c r="D139" s="33" t="n">
        <v>0.0034</v>
      </c>
      <c r="E139" s="33" t="inlineStr">
        <is>
          <t>TR</t>
        </is>
      </c>
      <c r="F139" s="54" t="inlineStr">
        <is>
          <t>mm</t>
        </is>
      </c>
      <c r="G139" s="54" t="inlineStr">
        <is>
          <t>Tropical rain default</t>
        </is>
      </c>
    </row>
    <row r="140">
      <c r="A140" s="33" t="n">
        <v>1</v>
      </c>
      <c r="B140" s="33" t="n">
        <v>400</v>
      </c>
      <c r="C140" s="33" t="n">
        <v>0.0039</v>
      </c>
      <c r="D140" s="33" t="n">
        <v>0.0105</v>
      </c>
      <c r="E140" s="33" t="inlineStr">
        <is>
          <t>TR</t>
        </is>
      </c>
      <c r="F140" s="54" t="inlineStr">
        <is>
          <t>mm</t>
        </is>
      </c>
      <c r="G140" s="54" t="inlineStr">
        <is>
          <t>Tropical rain default</t>
        </is>
      </c>
    </row>
    <row r="141">
      <c r="A141" s="33" t="n">
        <v>1</v>
      </c>
      <c r="B141" s="33" t="n">
        <v>450</v>
      </c>
      <c r="C141" s="33" t="n">
        <v>0.0091</v>
      </c>
      <c r="D141" s="33" t="n">
        <v>0.0243</v>
      </c>
      <c r="E141" s="33" t="inlineStr">
        <is>
          <t>TR</t>
        </is>
      </c>
      <c r="F141" s="54" t="inlineStr">
        <is>
          <t>mm</t>
        </is>
      </c>
      <c r="G141" s="54" t="inlineStr">
        <is>
          <t>Tropical rain default</t>
        </is>
      </c>
    </row>
    <row r="142">
      <c r="A142" s="33" t="n">
        <v>1</v>
      </c>
      <c r="B142" s="33" t="n">
        <v>500</v>
      </c>
      <c r="C142" s="33" t="n">
        <v>0.0182</v>
      </c>
      <c r="D142" s="33" t="n">
        <v>0.0487</v>
      </c>
      <c r="E142" s="33" t="inlineStr">
        <is>
          <t>TR</t>
        </is>
      </c>
      <c r="F142" s="54" t="inlineStr">
        <is>
          <t>mm</t>
        </is>
      </c>
      <c r="G142" s="54" t="inlineStr">
        <is>
          <t>Tropical rain default</t>
        </is>
      </c>
    </row>
    <row r="143">
      <c r="A143" s="33" t="n">
        <v>1</v>
      </c>
      <c r="B143" s="33" t="n">
        <v>550</v>
      </c>
      <c r="C143" s="33" t="n">
        <v>0.0331</v>
      </c>
      <c r="D143" s="33" t="n">
        <v>0.0882</v>
      </c>
      <c r="E143" s="33" t="inlineStr">
        <is>
          <t>TR</t>
        </is>
      </c>
      <c r="F143" s="54" t="inlineStr">
        <is>
          <t>mm</t>
        </is>
      </c>
      <c r="G143" s="54" t="inlineStr">
        <is>
          <t>Tropical rain default</t>
        </is>
      </c>
    </row>
    <row r="144">
      <c r="A144" s="33" t="n">
        <v>1</v>
      </c>
      <c r="B144" s="33" t="n">
        <v>600</v>
      </c>
      <c r="C144" s="33" t="n">
        <v>0.0551</v>
      </c>
      <c r="D144" s="33" t="n">
        <v>0.147</v>
      </c>
      <c r="E144" s="33" t="inlineStr">
        <is>
          <t>TR</t>
        </is>
      </c>
      <c r="F144" s="54" t="inlineStr">
        <is>
          <t>mm</t>
        </is>
      </c>
      <c r="G144" s="54" t="inlineStr">
        <is>
          <t>Tropical rain default</t>
        </is>
      </c>
    </row>
    <row r="145">
      <c r="A145" s="33" t="n">
        <v>1</v>
      </c>
      <c r="B145" s="33" t="n">
        <v>650</v>
      </c>
      <c r="C145" s="33" t="n">
        <v>0.0851</v>
      </c>
      <c r="D145" s="33" t="n">
        <v>0.2271</v>
      </c>
      <c r="E145" s="33" t="inlineStr">
        <is>
          <t>TR</t>
        </is>
      </c>
      <c r="F145" s="54" t="inlineStr">
        <is>
          <t>mm</t>
        </is>
      </c>
      <c r="G145" s="54" t="inlineStr">
        <is>
          <t>Tropical rain default</t>
        </is>
      </c>
    </row>
    <row r="146">
      <c r="A146" s="33" t="n">
        <v>1</v>
      </c>
      <c r="B146" s="33" t="n">
        <v>700</v>
      </c>
      <c r="C146" s="33" t="n">
        <v>0.1225</v>
      </c>
      <c r="D146" s="33" t="n">
        <v>0.3268</v>
      </c>
      <c r="E146" s="33" t="inlineStr">
        <is>
          <t>TR</t>
        </is>
      </c>
      <c r="F146" s="54" t="inlineStr">
        <is>
          <t>mm</t>
        </is>
      </c>
      <c r="G146" s="54" t="inlineStr">
        <is>
          <t>Tropical rain default</t>
        </is>
      </c>
    </row>
    <row r="147">
      <c r="A147" s="33" t="n">
        <v>1</v>
      </c>
      <c r="B147" s="33" t="n">
        <v>750</v>
      </c>
      <c r="C147" s="33" t="n">
        <v>0.1652</v>
      </c>
      <c r="D147" s="33" t="n">
        <v>0.4406</v>
      </c>
      <c r="E147" s="33" t="inlineStr">
        <is>
          <t>TR</t>
        </is>
      </c>
      <c r="F147" s="54" t="inlineStr">
        <is>
          <t>mm</t>
        </is>
      </c>
      <c r="G147" s="54" t="inlineStr">
        <is>
          <t>Tropical rain default</t>
        </is>
      </c>
    </row>
    <row r="148">
      <c r="A148" s="33" t="n">
        <v>1</v>
      </c>
      <c r="B148" s="33" t="n">
        <v>800</v>
      </c>
      <c r="C148" s="33" t="n">
        <v>0.2098</v>
      </c>
      <c r="D148" s="33" t="n">
        <v>0.5594</v>
      </c>
      <c r="E148" s="33" t="inlineStr">
        <is>
          <t>TR</t>
        </is>
      </c>
      <c r="F148" s="54" t="inlineStr">
        <is>
          <t>mm</t>
        </is>
      </c>
      <c r="G148" s="54" t="inlineStr">
        <is>
          <t>Tropical rain default</t>
        </is>
      </c>
    </row>
    <row r="149">
      <c r="A149" s="33" t="n">
        <v>1</v>
      </c>
      <c r="B149" s="33" t="n">
        <v>850</v>
      </c>
      <c r="C149" s="33" t="n">
        <v>0.2525</v>
      </c>
      <c r="D149" s="33" t="n">
        <v>0.6732</v>
      </c>
      <c r="E149" s="33" t="inlineStr">
        <is>
          <t>TR</t>
        </is>
      </c>
      <c r="F149" s="54" t="inlineStr">
        <is>
          <t>mm</t>
        </is>
      </c>
      <c r="G149" s="54" t="inlineStr">
        <is>
          <t>Tropical rain default</t>
        </is>
      </c>
    </row>
    <row r="150">
      <c r="A150" s="33" t="n">
        <v>1</v>
      </c>
      <c r="B150" s="33" t="n">
        <v>900</v>
      </c>
      <c r="C150" s="33" t="n">
        <v>0.2899</v>
      </c>
      <c r="D150" s="33" t="n">
        <v>0.7729</v>
      </c>
      <c r="E150" s="33" t="inlineStr">
        <is>
          <t>TR</t>
        </is>
      </c>
      <c r="F150" s="54" t="inlineStr">
        <is>
          <t>mm</t>
        </is>
      </c>
      <c r="G150" s="54" t="inlineStr">
        <is>
          <t>Tropical rain default</t>
        </is>
      </c>
    </row>
    <row r="151">
      <c r="A151" s="33" t="n">
        <v>1</v>
      </c>
      <c r="B151" s="33" t="n">
        <v>950</v>
      </c>
      <c r="C151" s="33" t="n">
        <v>0.3199</v>
      </c>
      <c r="D151" s="33" t="n">
        <v>0.853</v>
      </c>
      <c r="E151" s="33" t="inlineStr">
        <is>
          <t>TR</t>
        </is>
      </c>
      <c r="F151" s="54" t="inlineStr">
        <is>
          <t>mm</t>
        </is>
      </c>
      <c r="G151" s="54" t="inlineStr">
        <is>
          <t>Tropical rain default</t>
        </is>
      </c>
    </row>
    <row r="152">
      <c r="A152" s="33" t="n">
        <v>1</v>
      </c>
      <c r="B152" s="33" t="n">
        <v>1000</v>
      </c>
      <c r="C152" s="33" t="n">
        <v>0.3419</v>
      </c>
      <c r="D152" s="33" t="n">
        <v>0.9118000000000001</v>
      </c>
      <c r="E152" s="33" t="inlineStr">
        <is>
          <t>TR</t>
        </is>
      </c>
      <c r="F152" s="54" t="inlineStr">
        <is>
          <t>mm</t>
        </is>
      </c>
      <c r="G152" s="54" t="inlineStr">
        <is>
          <t>Tropical rain default</t>
        </is>
      </c>
    </row>
    <row r="153">
      <c r="A153" s="33" t="n">
        <v>1</v>
      </c>
      <c r="B153" s="33" t="n">
        <v>1050</v>
      </c>
      <c r="C153" s="33" t="n">
        <v>0.3568</v>
      </c>
      <c r="D153" s="33" t="n">
        <v>0.9513</v>
      </c>
      <c r="E153" s="33" t="inlineStr">
        <is>
          <t>TR</t>
        </is>
      </c>
      <c r="F153" s="54" t="inlineStr">
        <is>
          <t>mm</t>
        </is>
      </c>
      <c r="G153" s="54" t="inlineStr">
        <is>
          <t>Tropical rain default</t>
        </is>
      </c>
    </row>
    <row r="154">
      <c r="A154" s="33" t="n">
        <v>1</v>
      </c>
      <c r="B154" s="33" t="n">
        <v>1100</v>
      </c>
      <c r="C154" s="33" t="n">
        <v>0.3659</v>
      </c>
      <c r="D154" s="33" t="n">
        <v>0.9757</v>
      </c>
      <c r="E154" s="33" t="inlineStr">
        <is>
          <t>TR</t>
        </is>
      </c>
      <c r="F154" s="54" t="inlineStr">
        <is>
          <t>mm</t>
        </is>
      </c>
      <c r="G154" s="54" t="inlineStr">
        <is>
          <t>Tropical rain default</t>
        </is>
      </c>
    </row>
    <row r="155">
      <c r="A155" s="33" t="n">
        <v>1</v>
      </c>
      <c r="B155" s="33" t="n">
        <v>1150</v>
      </c>
      <c r="C155" s="33" t="n">
        <v>0.3711</v>
      </c>
      <c r="D155" s="33" t="n">
        <v>0.9895</v>
      </c>
      <c r="E155" s="33" t="inlineStr">
        <is>
          <t>TR</t>
        </is>
      </c>
      <c r="F155" s="54" t="inlineStr">
        <is>
          <t>mm</t>
        </is>
      </c>
      <c r="G155" s="54" t="inlineStr">
        <is>
          <t>Tropical rain default</t>
        </is>
      </c>
    </row>
    <row r="156">
      <c r="A156" s="33" t="n">
        <v>1</v>
      </c>
      <c r="B156" s="33" t="n">
        <v>1200</v>
      </c>
      <c r="C156" s="33" t="n">
        <v>0.3737</v>
      </c>
      <c r="D156" s="33" t="n">
        <v>0.9966</v>
      </c>
      <c r="E156" s="33" t="inlineStr">
        <is>
          <t>TR</t>
        </is>
      </c>
      <c r="F156" s="54" t="inlineStr">
        <is>
          <t>mm</t>
        </is>
      </c>
      <c r="G156" s="54" t="inlineStr">
        <is>
          <t>Tropical rain default</t>
        </is>
      </c>
    </row>
    <row r="157">
      <c r="A157" s="33" t="n">
        <v>1</v>
      </c>
      <c r="B157" s="33" t="n">
        <v>1500</v>
      </c>
      <c r="C157" s="33" t="n">
        <v>0.3737</v>
      </c>
      <c r="D157" s="33" t="n">
        <v>0.9966</v>
      </c>
      <c r="E157" s="33" t="inlineStr">
        <is>
          <t>TR</t>
        </is>
      </c>
      <c r="F157" s="54" t="inlineStr">
        <is>
          <t>mm</t>
        </is>
      </c>
      <c r="G157" s="54" t="inlineStr">
        <is>
          <t>Tropical rain default</t>
        </is>
      </c>
    </row>
    <row r="158">
      <c r="A158" s="33" t="n">
        <v>1</v>
      </c>
      <c r="B158" s="33" t="n">
        <v>2000</v>
      </c>
      <c r="C158" s="33" t="n">
        <v>0.3737</v>
      </c>
      <c r="D158" s="33" t="n">
        <v>0.9966</v>
      </c>
      <c r="E158" s="33" t="inlineStr">
        <is>
          <t>TR</t>
        </is>
      </c>
      <c r="F158" s="54" t="inlineStr">
        <is>
          <t>mm</t>
        </is>
      </c>
      <c r="G158" s="54" t="inlineStr">
        <is>
          <t>Tropical rain default</t>
        </is>
      </c>
    </row>
    <row r="159">
      <c r="A159" s="34" t="n">
        <v>1</v>
      </c>
      <c r="B159" s="34" t="n">
        <v>3000</v>
      </c>
      <c r="C159" s="34" t="n">
        <v>0.3737</v>
      </c>
      <c r="D159" s="34" t="n">
        <v>0.9966</v>
      </c>
      <c r="E159" s="34" t="inlineStr">
        <is>
          <t>TR</t>
        </is>
      </c>
      <c r="F159" s="54" t="inlineStr">
        <is>
          <t>mm</t>
        </is>
      </c>
      <c r="G159" s="54" t="inlineStr">
        <is>
          <t>Tropical rain default</t>
        </is>
      </c>
    </row>
    <row r="160">
      <c r="A160" s="30" t="n">
        <v>1</v>
      </c>
      <c r="B160" s="30" t="n">
        <v>0</v>
      </c>
      <c r="C160" s="30" t="n">
        <v>0</v>
      </c>
      <c r="D160" s="30" t="n">
        <v>1</v>
      </c>
      <c r="E160" s="30" t="inlineStr">
        <is>
          <t>LS</t>
        </is>
      </c>
      <c r="F160" s="54" t="inlineStr">
        <is>
          <t>m/m</t>
        </is>
      </c>
      <c r="G160" s="54" t="inlineStr">
        <is>
          <t>Landslide default</t>
        </is>
      </c>
    </row>
    <row r="161">
      <c r="A161" s="30" t="n">
        <v>1</v>
      </c>
      <c r="B161" s="30" t="n">
        <v>0</v>
      </c>
      <c r="C161" s="30" t="n">
        <v>0.006789497762514971</v>
      </c>
      <c r="D161" s="30" t="n">
        <v>1</v>
      </c>
      <c r="E161" s="30" t="inlineStr">
        <is>
          <t>LS</t>
        </is>
      </c>
      <c r="F161" s="54" t="inlineStr">
        <is>
          <t>m/m</t>
        </is>
      </c>
      <c r="G161" s="54" t="inlineStr">
        <is>
          <t>Landslide default</t>
        </is>
      </c>
    </row>
    <row r="162">
      <c r="A162" s="30" t="n">
        <v>1</v>
      </c>
      <c r="B162" s="30" t="n">
        <v>0.01500000000000001</v>
      </c>
      <c r="C162" s="30" t="n">
        <v>0.008145289202508527</v>
      </c>
      <c r="D162" s="30" t="n">
        <v>1</v>
      </c>
      <c r="E162" s="30" t="inlineStr">
        <is>
          <t>LS</t>
        </is>
      </c>
      <c r="F162" s="54" t="inlineStr">
        <is>
          <t>m/m</t>
        </is>
      </c>
      <c r="G162" s="54" t="inlineStr">
        <is>
          <t>Landslide default</t>
        </is>
      </c>
    </row>
    <row r="163">
      <c r="A163" s="30" t="n">
        <v>1</v>
      </c>
      <c r="B163" s="30" t="n">
        <v>0.03000000000000003</v>
      </c>
      <c r="C163" s="30" t="n">
        <v>0.009725093523450938</v>
      </c>
      <c r="D163" s="30" t="n">
        <v>1</v>
      </c>
      <c r="E163" s="30" t="inlineStr">
        <is>
          <t>LS</t>
        </is>
      </c>
      <c r="F163" s="54" t="inlineStr">
        <is>
          <t>m/m</t>
        </is>
      </c>
      <c r="G163" s="54" t="inlineStr">
        <is>
          <t>Landslide default</t>
        </is>
      </c>
    </row>
    <row r="164">
      <c r="A164" s="30" t="n">
        <v>1</v>
      </c>
      <c r="B164" s="30" t="n">
        <v>0.04500000000000004</v>
      </c>
      <c r="C164" s="30" t="n">
        <v>0.01155896562277225</v>
      </c>
      <c r="D164" s="30" t="n">
        <v>1</v>
      </c>
      <c r="E164" s="30" t="inlineStr">
        <is>
          <t>LS</t>
        </is>
      </c>
      <c r="F164" s="54" t="inlineStr">
        <is>
          <t>m/m</t>
        </is>
      </c>
      <c r="G164" s="54" t="inlineStr">
        <is>
          <t>Landslide default</t>
        </is>
      </c>
    </row>
    <row r="165">
      <c r="A165" s="30" t="n">
        <v>1</v>
      </c>
      <c r="B165" s="30" t="n">
        <v>0.06000000000000005</v>
      </c>
      <c r="C165" s="30" t="n">
        <v>0.0136799298111267</v>
      </c>
      <c r="D165" s="30" t="n">
        <v>1</v>
      </c>
      <c r="E165" s="30" t="inlineStr">
        <is>
          <t>LS</t>
        </is>
      </c>
      <c r="F165" s="54" t="inlineStr">
        <is>
          <t>m/m</t>
        </is>
      </c>
      <c r="G165" s="54" t="inlineStr">
        <is>
          <t>Landslide default</t>
        </is>
      </c>
    </row>
    <row r="166">
      <c r="A166" s="30" t="n">
        <v>1</v>
      </c>
      <c r="B166" s="30" t="n">
        <v>0.07499999999999996</v>
      </c>
      <c r="C166" s="30" t="n">
        <v>0.01612411040175948</v>
      </c>
      <c r="D166" s="30" t="n">
        <v>1</v>
      </c>
      <c r="E166" s="30" t="inlineStr">
        <is>
          <t>LS</t>
        </is>
      </c>
      <c r="F166" s="54" t="inlineStr">
        <is>
          <t>m/m</t>
        </is>
      </c>
      <c r="G166" s="54" t="inlineStr">
        <is>
          <t>Landslide default</t>
        </is>
      </c>
    </row>
    <row r="167">
      <c r="A167" s="30" t="n">
        <v>1</v>
      </c>
      <c r="B167" s="30" t="n">
        <v>0.08999999999999997</v>
      </c>
      <c r="C167" s="30" t="n">
        <v>0.01893084081032253</v>
      </c>
      <c r="D167" s="30" t="n">
        <v>1</v>
      </c>
      <c r="E167" s="30" t="inlineStr">
        <is>
          <t>LS</t>
        </is>
      </c>
      <c r="F167" s="54" t="inlineStr">
        <is>
          <t>m/m</t>
        </is>
      </c>
      <c r="G167" s="54" t="inlineStr">
        <is>
          <t>Landslide default</t>
        </is>
      </c>
    </row>
    <row r="168">
      <c r="A168" s="30" t="n">
        <v>1</v>
      </c>
      <c r="B168" s="30" t="n">
        <v>0.105</v>
      </c>
      <c r="C168" s="30" t="n">
        <v>0.02214274556597137</v>
      </c>
      <c r="D168" s="30" t="n">
        <v>1</v>
      </c>
      <c r="E168" s="30" t="inlineStr">
        <is>
          <t>LS</t>
        </is>
      </c>
      <c r="F168" s="54" t="inlineStr">
        <is>
          <t>m/m</t>
        </is>
      </c>
      <c r="G168" s="54" t="inlineStr">
        <is>
          <t>Landslide default</t>
        </is>
      </c>
    </row>
    <row r="169">
      <c r="A169" s="30" t="n">
        <v>1</v>
      </c>
      <c r="B169" s="30" t="n">
        <v>0.12</v>
      </c>
      <c r="C169" s="30" t="n">
        <v>0.025805789159263</v>
      </c>
      <c r="D169" s="30" t="n">
        <v>1</v>
      </c>
      <c r="E169" s="30" t="inlineStr">
        <is>
          <t>LS</t>
        </is>
      </c>
      <c r="F169" s="54" t="inlineStr">
        <is>
          <t>m/m</t>
        </is>
      </c>
      <c r="G169" s="54" t="inlineStr">
        <is>
          <t>Landslide default</t>
        </is>
      </c>
    </row>
    <row r="170">
      <c r="A170" s="30" t="n">
        <v>1</v>
      </c>
      <c r="B170" s="30" t="n">
        <v>0.135</v>
      </c>
      <c r="C170" s="30" t="n">
        <v>0.02996928522021436</v>
      </c>
      <c r="D170" s="30" t="n">
        <v>1</v>
      </c>
      <c r="E170" s="30" t="inlineStr">
        <is>
          <t>LS</t>
        </is>
      </c>
      <c r="F170" s="54" t="inlineStr">
        <is>
          <t>m/m</t>
        </is>
      </c>
      <c r="G170" s="54" t="inlineStr">
        <is>
          <t>Landslide default</t>
        </is>
      </c>
    </row>
    <row r="171">
      <c r="A171" s="30" t="n">
        <v>1</v>
      </c>
      <c r="B171" s="30" t="n">
        <v>0.15</v>
      </c>
      <c r="C171" s="30" t="n">
        <v>0.03468585914814035</v>
      </c>
      <c r="D171" s="30" t="n">
        <v>1</v>
      </c>
      <c r="E171" s="30" t="inlineStr">
        <is>
          <t>LS</t>
        </is>
      </c>
      <c r="F171" s="54" t="inlineStr">
        <is>
          <t>m/m</t>
        </is>
      </c>
      <c r="G171" s="54" t="inlineStr">
        <is>
          <t>Landslide default</t>
        </is>
      </c>
    </row>
    <row r="172">
      <c r="A172" s="30" t="n">
        <v>1</v>
      </c>
      <c r="B172" s="30" t="n">
        <v>0.165</v>
      </c>
      <c r="C172" s="30" t="n">
        <v>0.04001135702227973</v>
      </c>
      <c r="D172" s="30" t="n">
        <v>1</v>
      </c>
      <c r="E172" s="30" t="inlineStr">
        <is>
          <t>LS</t>
        </is>
      </c>
      <c r="F172" s="54" t="inlineStr">
        <is>
          <t>m/m</t>
        </is>
      </c>
      <c r="G172" s="54" t="inlineStr">
        <is>
          <t>Landslide default</t>
        </is>
      </c>
    </row>
    <row r="173">
      <c r="A173" s="30" t="n">
        <v>1</v>
      </c>
      <c r="B173" s="30" t="n">
        <v>0.18</v>
      </c>
      <c r="C173" s="30" t="n">
        <v>0.04600469342860324</v>
      </c>
      <c r="D173" s="30" t="n">
        <v>1</v>
      </c>
      <c r="E173" s="30" t="inlineStr">
        <is>
          <t>LS</t>
        </is>
      </c>
      <c r="F173" s="54" t="inlineStr">
        <is>
          <t>m/m</t>
        </is>
      </c>
      <c r="G173" s="54" t="inlineStr">
        <is>
          <t>Landslide default</t>
        </is>
      </c>
    </row>
    <row r="174">
      <c r="A174" s="30" t="n">
        <v>1</v>
      </c>
      <c r="B174" s="30" t="n">
        <v>0.195</v>
      </c>
      <c r="C174" s="30" t="n">
        <v>0.05272763076427636</v>
      </c>
      <c r="D174" s="30" t="n">
        <v>1</v>
      </c>
      <c r="E174" s="30" t="inlineStr">
        <is>
          <t>LS</t>
        </is>
      </c>
      <c r="F174" s="54" t="inlineStr">
        <is>
          <t>m/m</t>
        </is>
      </c>
      <c r="G174" s="54" t="inlineStr">
        <is>
          <t>Landslide default</t>
        </is>
      </c>
    </row>
    <row r="175">
      <c r="A175" s="30" t="n">
        <v>1</v>
      </c>
      <c r="B175" s="30" t="n">
        <v>0.21</v>
      </c>
      <c r="C175" s="30" t="n">
        <v>0.06024448264805787</v>
      </c>
      <c r="D175" s="30" t="n">
        <v>1</v>
      </c>
      <c r="E175" s="30" t="inlineStr">
        <is>
          <t>LS</t>
        </is>
      </c>
      <c r="F175" s="54" t="inlineStr">
        <is>
          <t>m/m</t>
        </is>
      </c>
      <c r="G175" s="54" t="inlineStr">
        <is>
          <t>Landslide default</t>
        </is>
      </c>
    </row>
    <row r="176">
      <c r="A176" s="30" t="n">
        <v>1</v>
      </c>
      <c r="B176" s="30" t="n">
        <v>0.225</v>
      </c>
      <c r="C176" s="30" t="n">
        <v>0.06862173429334251</v>
      </c>
      <c r="D176" s="30" t="n">
        <v>1</v>
      </c>
      <c r="E176" s="30" t="inlineStr">
        <is>
          <t>LS</t>
        </is>
      </c>
      <c r="F176" s="54" t="inlineStr">
        <is>
          <t>m/m</t>
        </is>
      </c>
      <c r="G176" s="54" t="inlineStr">
        <is>
          <t>Landslide default</t>
        </is>
      </c>
    </row>
    <row r="177">
      <c r="A177" s="30" t="n">
        <v>1</v>
      </c>
      <c r="B177" s="30" t="n">
        <v>0.24</v>
      </c>
      <c r="C177" s="30" t="n">
        <v>0.07792757311066456</v>
      </c>
      <c r="D177" s="30" t="n">
        <v>1</v>
      </c>
      <c r="E177" s="30" t="inlineStr">
        <is>
          <t>LS</t>
        </is>
      </c>
      <c r="F177" s="54" t="inlineStr">
        <is>
          <t>m/m</t>
        </is>
      </c>
      <c r="G177" s="54" t="inlineStr">
        <is>
          <t>Landslide default</t>
        </is>
      </c>
    </row>
    <row r="178">
      <c r="A178" s="30" t="n">
        <v>1</v>
      </c>
      <c r="B178" s="30" t="n">
        <v>0.255</v>
      </c>
      <c r="C178" s="30" t="n">
        <v>0.08823132341682829</v>
      </c>
      <c r="D178" s="30" t="n">
        <v>1</v>
      </c>
      <c r="E178" s="30" t="inlineStr">
        <is>
          <t>LS</t>
        </is>
      </c>
      <c r="F178" s="54" t="inlineStr">
        <is>
          <t>m/m</t>
        </is>
      </c>
      <c r="G178" s="54" t="inlineStr">
        <is>
          <t>Landslide default</t>
        </is>
      </c>
    </row>
    <row r="179">
      <c r="A179" s="30" t="n">
        <v>1</v>
      </c>
      <c r="B179" s="30" t="n">
        <v>0.27</v>
      </c>
      <c r="C179" s="30" t="n">
        <v>0.09960277995460703</v>
      </c>
      <c r="D179" s="30" t="n">
        <v>1</v>
      </c>
      <c r="E179" s="30" t="inlineStr">
        <is>
          <t>LS</t>
        </is>
      </c>
      <c r="F179" s="54" t="inlineStr">
        <is>
          <t>m/m</t>
        </is>
      </c>
      <c r="G179" s="54" t="inlineStr">
        <is>
          <t>Landslide default</t>
        </is>
      </c>
    </row>
    <row r="180">
      <c r="A180" s="30" t="n">
        <v>1</v>
      </c>
      <c r="B180" s="30" t="n">
        <v>0.285</v>
      </c>
      <c r="C180" s="30" t="n">
        <v>0.1121114359831906</v>
      </c>
      <c r="D180" s="30" t="n">
        <v>1</v>
      </c>
      <c r="E180" s="30" t="inlineStr">
        <is>
          <t>LS</t>
        </is>
      </c>
      <c r="F180" s="54" t="inlineStr">
        <is>
          <t>m/m</t>
        </is>
      </c>
      <c r="G180" s="54" t="inlineStr">
        <is>
          <t>Landslide default</t>
        </is>
      </c>
    </row>
    <row r="181">
      <c r="A181" s="30" t="n">
        <v>1</v>
      </c>
      <c r="B181" s="30" t="n">
        <v>0.3</v>
      </c>
      <c r="C181" s="30" t="n">
        <v>0.1258256029940116</v>
      </c>
      <c r="D181" s="30" t="n">
        <v>1</v>
      </c>
      <c r="E181" s="30" t="inlineStr">
        <is>
          <t>LS</t>
        </is>
      </c>
      <c r="F181" s="54" t="inlineStr">
        <is>
          <t>m/m</t>
        </is>
      </c>
      <c r="G181" s="54" t="inlineStr">
        <is>
          <t>Landslide default</t>
        </is>
      </c>
    </row>
    <row r="182">
      <c r="A182" s="30" t="n">
        <v>1</v>
      </c>
      <c r="B182" s="30" t="n">
        <v>0.3149999999999999</v>
      </c>
      <c r="C182" s="30" t="n">
        <v>0.1408114206428943</v>
      </c>
      <c r="D182" s="30" t="n">
        <v>1</v>
      </c>
      <c r="E182" s="30" t="inlineStr">
        <is>
          <t>LS</t>
        </is>
      </c>
      <c r="F182" s="54" t="inlineStr">
        <is>
          <t>m/m</t>
        </is>
      </c>
      <c r="G182" s="54" t="inlineStr">
        <is>
          <t>Landslide default</t>
        </is>
      </c>
    </row>
    <row r="183">
      <c r="A183" s="30" t="n">
        <v>1</v>
      </c>
      <c r="B183" s="30" t="n">
        <v>0.33</v>
      </c>
      <c r="C183" s="30" t="n">
        <v>0.1571317572649816</v>
      </c>
      <c r="D183" s="30" t="n">
        <v>1</v>
      </c>
      <c r="E183" s="30" t="inlineStr">
        <is>
          <t>LS</t>
        </is>
      </c>
      <c r="F183" s="54" t="inlineStr">
        <is>
          <t>m/m</t>
        </is>
      </c>
      <c r="G183" s="54" t="inlineStr">
        <is>
          <t>Landslide default</t>
        </is>
      </c>
    </row>
    <row r="184">
      <c r="A184" s="30" t="n">
        <v>1</v>
      </c>
      <c r="B184" s="30" t="n">
        <v>0.345</v>
      </c>
      <c r="C184" s="30" t="n">
        <v>0.1748450033435115</v>
      </c>
      <c r="D184" s="30" t="n">
        <v>1</v>
      </c>
      <c r="E184" s="30" t="inlineStr">
        <is>
          <t>LS</t>
        </is>
      </c>
      <c r="F184" s="54" t="inlineStr">
        <is>
          <t>m/m</t>
        </is>
      </c>
      <c r="G184" s="54" t="inlineStr">
        <is>
          <t>Landslide default</t>
        </is>
      </c>
    </row>
    <row r="185">
      <c r="A185" s="30" t="n">
        <v>1</v>
      </c>
      <c r="B185" s="30" t="n">
        <v>0.36</v>
      </c>
      <c r="C185" s="30" t="n">
        <v>0.194003762518735</v>
      </c>
      <c r="D185" s="30" t="n">
        <v>1</v>
      </c>
      <c r="E185" s="30" t="inlineStr">
        <is>
          <t>LS</t>
        </is>
      </c>
      <c r="F185" s="54" t="inlineStr">
        <is>
          <t>m/m</t>
        </is>
      </c>
      <c r="G185" s="54" t="inlineStr">
        <is>
          <t>Landslide default</t>
        </is>
      </c>
    </row>
    <row r="186">
      <c r="A186" s="30" t="n">
        <v>1</v>
      </c>
      <c r="B186" s="30" t="n">
        <v>0.375</v>
      </c>
      <c r="C186" s="30" t="n">
        <v>0.2146534471206822</v>
      </c>
      <c r="D186" s="30" t="n">
        <v>1</v>
      </c>
      <c r="E186" s="30" t="inlineStr">
        <is>
          <t>LS</t>
        </is>
      </c>
      <c r="F186" s="54" t="inlineStr">
        <is>
          <t>m/m</t>
        </is>
      </c>
      <c r="G186" s="54" t="inlineStr">
        <is>
          <t>Landslide default</t>
        </is>
      </c>
    </row>
    <row r="187">
      <c r="A187" s="30" t="n">
        <v>1</v>
      </c>
      <c r="B187" s="30" t="n">
        <v>0.39</v>
      </c>
      <c r="C187" s="30" t="n">
        <v>0.236830787749878</v>
      </c>
      <c r="D187" s="30" t="n">
        <v>1</v>
      </c>
      <c r="E187" s="30" t="inlineStr">
        <is>
          <t>LS</t>
        </is>
      </c>
      <c r="F187" s="54" t="inlineStr">
        <is>
          <t>m/m</t>
        </is>
      </c>
      <c r="G187" s="54" t="inlineStr">
        <is>
          <t>Landslide default</t>
        </is>
      </c>
    </row>
    <row r="188">
      <c r="A188" s="30" t="n">
        <v>1</v>
      </c>
      <c r="B188" s="30" t="n">
        <v>0.405</v>
      </c>
      <c r="C188" s="30" t="n">
        <v>0.2605622690616388</v>
      </c>
      <c r="D188" s="30" t="n">
        <v>1</v>
      </c>
      <c r="E188" s="30" t="inlineStr">
        <is>
          <t>LS</t>
        </is>
      </c>
      <c r="F188" s="54" t="inlineStr">
        <is>
          <t>m/m</t>
        </is>
      </c>
      <c r="G188" s="54" t="inlineStr">
        <is>
          <t>Landslide default</t>
        </is>
      </c>
    </row>
    <row r="189">
      <c r="A189" s="30" t="n">
        <v>1</v>
      </c>
      <c r="B189" s="30" t="n">
        <v>0.42</v>
      </c>
      <c r="C189" s="30" t="n">
        <v>0.2858625065665544</v>
      </c>
      <c r="D189" s="30" t="n">
        <v>1</v>
      </c>
      <c r="E189" s="30" t="inlineStr">
        <is>
          <t>LS</t>
        </is>
      </c>
      <c r="F189" s="54" t="inlineStr">
        <is>
          <t>m/m</t>
        </is>
      </c>
      <c r="G189" s="54" t="inlineStr">
        <is>
          <t>Landslide default</t>
        </is>
      </c>
    </row>
    <row r="190">
      <c r="A190" s="30" t="n">
        <v>1</v>
      </c>
      <c r="B190" s="30" t="n">
        <v>0.4350000000000001</v>
      </c>
      <c r="C190" s="30" t="n">
        <v>0.3127325818601873</v>
      </c>
      <c r="D190" s="30" t="n">
        <v>1</v>
      </c>
      <c r="E190" s="30" t="inlineStr">
        <is>
          <t>LS</t>
        </is>
      </c>
      <c r="F190" s="54" t="inlineStr">
        <is>
          <t>m/m</t>
        </is>
      </c>
      <c r="G190" s="54" t="inlineStr">
        <is>
          <t>Landslide default</t>
        </is>
      </c>
    </row>
    <row r="191">
      <c r="A191" s="30" t="n">
        <v>1</v>
      </c>
      <c r="B191" s="30" t="n">
        <v>0.45</v>
      </c>
      <c r="C191" s="30" t="n">
        <v>0.3411583561380845</v>
      </c>
      <c r="D191" s="30" t="n">
        <v>1</v>
      </c>
      <c r="E191" s="30" t="inlineStr">
        <is>
          <t>LS</t>
        </is>
      </c>
      <c r="F191" s="54" t="inlineStr">
        <is>
          <t>m/m</t>
        </is>
      </c>
      <c r="G191" s="54" t="inlineStr">
        <is>
          <t>Landslide default</t>
        </is>
      </c>
    </row>
    <row r="192">
      <c r="A192" s="30" t="n">
        <v>1</v>
      </c>
      <c r="B192" s="30" t="n">
        <v>0.465</v>
      </c>
      <c r="C192" s="30" t="n">
        <v>0.3711087840138758</v>
      </c>
      <c r="D192" s="30" t="n">
        <v>1</v>
      </c>
      <c r="E192" s="30" t="inlineStr">
        <is>
          <t>LS</t>
        </is>
      </c>
      <c r="F192" s="54" t="inlineStr">
        <is>
          <t>m/m</t>
        </is>
      </c>
      <c r="G192" s="54" t="inlineStr">
        <is>
          <t>Landslide default</t>
        </is>
      </c>
    </row>
    <row r="193">
      <c r="A193" s="30" t="n">
        <v>1</v>
      </c>
      <c r="B193" s="30" t="n">
        <v>0.48</v>
      </c>
      <c r="C193" s="30" t="n">
        <v>0.4025342513852163</v>
      </c>
      <c r="D193" s="30" t="n">
        <v>1</v>
      </c>
      <c r="E193" s="30" t="inlineStr">
        <is>
          <t>LS</t>
        </is>
      </c>
      <c r="F193" s="54" t="inlineStr">
        <is>
          <t>m/m</t>
        </is>
      </c>
      <c r="G193" s="54" t="inlineStr">
        <is>
          <t>Landslide default</t>
        </is>
      </c>
    </row>
    <row r="194">
      <c r="A194" s="30" t="n">
        <v>1</v>
      </c>
      <c r="B194" s="30" t="n">
        <v>0.495</v>
      </c>
      <c r="C194" s="30" t="n">
        <v>0.4353649621915425</v>
      </c>
      <c r="D194" s="30" t="n">
        <v>1</v>
      </c>
      <c r="E194" s="30" t="inlineStr">
        <is>
          <t>LS</t>
        </is>
      </c>
      <c r="F194" s="54" t="inlineStr">
        <is>
          <t>m/m</t>
        </is>
      </c>
      <c r="G194" s="54" t="inlineStr">
        <is>
          <t>Landslide default</t>
        </is>
      </c>
    </row>
    <row r="195">
      <c r="A195" s="30" t="n">
        <v>1</v>
      </c>
      <c r="B195" s="30" t="n">
        <v>0.51</v>
      </c>
      <c r="C195" s="30" t="n">
        <v>0.4695093991300072</v>
      </c>
      <c r="D195" s="30" t="n">
        <v>1</v>
      </c>
      <c r="E195" s="30" t="inlineStr">
        <is>
          <t>LS</t>
        </is>
      </c>
      <c r="F195" s="54" t="inlineStr">
        <is>
          <t>m/m</t>
        </is>
      </c>
      <c r="G195" s="54" t="inlineStr">
        <is>
          <t>Landslide default</t>
        </is>
      </c>
    </row>
    <row r="196">
      <c r="A196" s="30" t="n">
        <v>1</v>
      </c>
      <c r="B196" s="30" t="n">
        <v>0.525</v>
      </c>
      <c r="C196" s="30" t="n">
        <v>0.5048528824079432</v>
      </c>
      <c r="D196" s="30" t="n">
        <v>1</v>
      </c>
      <c r="E196" s="30" t="inlineStr">
        <is>
          <t>LS</t>
        </is>
      </c>
      <c r="F196" s="54" t="inlineStr">
        <is>
          <t>m/m</t>
        </is>
      </c>
      <c r="G196" s="54" t="inlineStr">
        <is>
          <t>Landslide default</t>
        </is>
      </c>
    </row>
    <row r="197">
      <c r="A197" s="30" t="n">
        <v>1</v>
      </c>
      <c r="B197" s="30" t="n">
        <v>0.54</v>
      </c>
      <c r="C197" s="30" t="n">
        <v>0.5412562479466315</v>
      </c>
      <c r="D197" s="30" t="n">
        <v>1</v>
      </c>
      <c r="E197" s="30" t="inlineStr">
        <is>
          <t>LS</t>
        </is>
      </c>
      <c r="F197" s="54" t="inlineStr">
        <is>
          <t>m/m</t>
        </is>
      </c>
      <c r="G197" s="54" t="inlineStr">
        <is>
          <t>Landslide default</t>
        </is>
      </c>
    </row>
    <row r="198">
      <c r="A198" s="30" t="n">
        <v>1</v>
      </c>
      <c r="B198" s="30" t="n">
        <v>0.5549999999999999</v>
      </c>
      <c r="C198" s="30" t="n">
        <v>0.5785546614302168</v>
      </c>
      <c r="D198" s="30" t="n">
        <v>1</v>
      </c>
      <c r="E198" s="30" t="inlineStr">
        <is>
          <t>LS</t>
        </is>
      </c>
      <c r="F198" s="54" t="inlineStr">
        <is>
          <t>m/m</t>
        </is>
      </c>
      <c r="G198" s="54" t="inlineStr">
        <is>
          <t>Landslide default</t>
        </is>
      </c>
    </row>
    <row r="199">
      <c r="A199" s="30" t="n">
        <v>1</v>
      </c>
      <c r="B199" s="30" t="n">
        <v>0.5700000000000001</v>
      </c>
      <c r="C199" s="30" t="n">
        <v>0.6165565761666219</v>
      </c>
      <c r="D199" s="30" t="n">
        <v>1</v>
      </c>
      <c r="E199" s="30" t="inlineStr">
        <is>
          <t>LS</t>
        </is>
      </c>
      <c r="F199" s="54" t="inlineStr">
        <is>
          <t>m/m</t>
        </is>
      </c>
      <c r="G199" s="54" t="inlineStr">
        <is>
          <t>Landslide default</t>
        </is>
      </c>
    </row>
    <row r="200">
      <c r="A200" s="30" t="n">
        <v>1</v>
      </c>
      <c r="B200" s="30" t="n">
        <v>0.585</v>
      </c>
      <c r="C200" s="30" t="n">
        <v>0.6550428291968072</v>
      </c>
      <c r="D200" s="30" t="n">
        <v>1</v>
      </c>
      <c r="E200" s="30" t="inlineStr">
        <is>
          <t>LS</t>
        </is>
      </c>
      <c r="F200" s="54" t="inlineStr">
        <is>
          <t>m/m</t>
        </is>
      </c>
      <c r="G200" s="54" t="inlineStr">
        <is>
          <t>Landslide default</t>
        </is>
      </c>
    </row>
    <row r="201">
      <c r="A201" s="30" t="n">
        <v>1</v>
      </c>
      <c r="B201" s="30" t="n">
        <v>0.6</v>
      </c>
      <c r="C201" s="30" t="n">
        <v>0.6937658485665746</v>
      </c>
      <c r="D201" s="30" t="n">
        <v>1</v>
      </c>
      <c r="E201" s="30" t="inlineStr">
        <is>
          <t>LS</t>
        </is>
      </c>
      <c r="F201" s="54" t="inlineStr">
        <is>
          <t>m/m</t>
        </is>
      </c>
      <c r="G201" s="54" t="inlineStr">
        <is>
          <t>Landslide default</t>
        </is>
      </c>
    </row>
    <row r="202">
      <c r="A202" s="30" t="n">
        <v>1</v>
      </c>
      <c r="B202" s="30" t="n">
        <v>0.615</v>
      </c>
      <c r="C202" s="30" t="n">
        <v>0.7324489099904636</v>
      </c>
      <c r="D202" s="30" t="n">
        <v>1</v>
      </c>
      <c r="E202" s="30" t="inlineStr">
        <is>
          <t>LS</t>
        </is>
      </c>
      <c r="F202" s="54" t="inlineStr">
        <is>
          <t>m/m</t>
        </is>
      </c>
      <c r="G202" s="54" t="inlineStr">
        <is>
          <t>Landslide default</t>
        </is>
      </c>
    </row>
    <row r="203">
      <c r="A203" s="30" t="n">
        <v>1</v>
      </c>
      <c r="B203" s="30" t="n">
        <v>0.63</v>
      </c>
      <c r="C203" s="30" t="n">
        <v>0.7707853235172473</v>
      </c>
      <c r="D203" s="30" t="n">
        <v>1</v>
      </c>
      <c r="E203" s="30" t="inlineStr">
        <is>
          <t>LS</t>
        </is>
      </c>
      <c r="F203" s="54" t="inlineStr">
        <is>
          <t>m/m</t>
        </is>
      </c>
      <c r="G203" s="54" t="inlineStr">
        <is>
          <t>Landslide default</t>
        </is>
      </c>
    </row>
    <row r="204">
      <c r="A204" s="30" t="n">
        <v>1</v>
      </c>
      <c r="B204" s="30" t="n">
        <v>0.645</v>
      </c>
      <c r="C204" s="30" t="n">
        <v>0.8084373306370634</v>
      </c>
      <c r="D204" s="30" t="n">
        <v>1</v>
      </c>
      <c r="E204" s="30" t="inlineStr">
        <is>
          <t>LS</t>
        </is>
      </c>
      <c r="F204" s="54" t="inlineStr">
        <is>
          <t>m/m</t>
        </is>
      </c>
      <c r="G204" s="54" t="inlineStr">
        <is>
          <t>Landslide default</t>
        </is>
      </c>
    </row>
    <row r="205">
      <c r="A205" s="30" t="n">
        <v>1</v>
      </c>
      <c r="B205" s="30" t="n">
        <v>0.6599999999999999</v>
      </c>
      <c r="C205" s="30" t="n">
        <v>0.8450343073281695</v>
      </c>
      <c r="D205" s="30" t="n">
        <v>1</v>
      </c>
      <c r="E205" s="30" t="inlineStr">
        <is>
          <t>LS</t>
        </is>
      </c>
      <c r="F205" s="54" t="inlineStr">
        <is>
          <t>m/m</t>
        </is>
      </c>
      <c r="G205" s="54" t="inlineStr">
        <is>
          <t>Landslide default</t>
        </is>
      </c>
    </row>
    <row r="206">
      <c r="A206" s="30" t="n">
        <v>1</v>
      </c>
      <c r="B206" s="30" t="n">
        <v>0.675</v>
      </c>
      <c r="C206" s="30" t="n">
        <v>0.8801694998413029</v>
      </c>
      <c r="D206" s="30" t="n">
        <v>1</v>
      </c>
      <c r="E206" s="30" t="inlineStr">
        <is>
          <t>LS</t>
        </is>
      </c>
      <c r="F206" s="54" t="inlineStr">
        <is>
          <t>m/m</t>
        </is>
      </c>
      <c r="G206" s="54" t="inlineStr">
        <is>
          <t>Landslide default</t>
        </is>
      </c>
    </row>
    <row r="207">
      <c r="A207" s="30" t="n">
        <v>1</v>
      </c>
      <c r="B207" s="30" t="n">
        <v>0.6899999999999999</v>
      </c>
      <c r="C207" s="30" t="n">
        <v>0.9133937089650993</v>
      </c>
      <c r="D207" s="30" t="n">
        <v>1</v>
      </c>
      <c r="E207" s="30" t="inlineStr">
        <is>
          <t>LS</t>
        </is>
      </c>
      <c r="F207" s="54" t="inlineStr">
        <is>
          <t>m/m</t>
        </is>
      </c>
      <c r="G207" s="54" t="inlineStr">
        <is>
          <t>Landslide default</t>
        </is>
      </c>
    </row>
    <row r="208">
      <c r="A208" s="30" t="n">
        <v>1</v>
      </c>
      <c r="B208" s="30" t="n">
        <v>0.7050000000000001</v>
      </c>
      <c r="C208" s="30" t="n">
        <v>0.9442023044305402</v>
      </c>
      <c r="D208" s="30" t="n">
        <v>1</v>
      </c>
      <c r="E208" s="30" t="inlineStr">
        <is>
          <t>LS</t>
        </is>
      </c>
      <c r="F208" s="54" t="inlineStr">
        <is>
          <t>m/m</t>
        </is>
      </c>
      <c r="G208" s="54" t="inlineStr">
        <is>
          <t>Landslide default</t>
        </is>
      </c>
    </row>
    <row r="209">
      <c r="A209" s="30" t="n">
        <v>1</v>
      </c>
      <c r="B209" s="30" t="n">
        <v>0.72</v>
      </c>
      <c r="C209" s="30" t="n">
        <v>0.9720057934761688</v>
      </c>
      <c r="D209" s="30" t="n">
        <v>1</v>
      </c>
      <c r="E209" s="30" t="inlineStr">
        <is>
          <t>LS</t>
        </is>
      </c>
      <c r="F209" s="54" t="inlineStr">
        <is>
          <t>m/m</t>
        </is>
      </c>
      <c r="G209" s="54" t="inlineStr">
        <is>
          <t>Landslide default</t>
        </is>
      </c>
    </row>
    <row r="210">
      <c r="A210" s="30" t="n">
        <v>1</v>
      </c>
      <c r="B210" s="30" t="n">
        <v>0.735</v>
      </c>
      <c r="C210" s="30" t="n">
        <v>0.996048734278002</v>
      </c>
      <c r="D210" s="30" t="n">
        <v>1</v>
      </c>
      <c r="E210" s="30" t="inlineStr">
        <is>
          <t>LS</t>
        </is>
      </c>
      <c r="F210" s="54" t="inlineStr">
        <is>
          <t>m/m</t>
        </is>
      </c>
      <c r="G210" s="54" t="inlineStr">
        <is>
          <t>Landslide default</t>
        </is>
      </c>
    </row>
    <row r="211">
      <c r="A211" s="30" t="n">
        <v>1</v>
      </c>
      <c r="B211" s="30" t="n">
        <v>0.75</v>
      </c>
      <c r="C211" s="30" t="n">
        <v>1</v>
      </c>
      <c r="D211" s="30" t="n">
        <v>1</v>
      </c>
      <c r="E211" s="30" t="inlineStr">
        <is>
          <t>LS</t>
        </is>
      </c>
      <c r="F211" s="54" t="inlineStr">
        <is>
          <t>m/m</t>
        </is>
      </c>
      <c r="G211" s="54" t="inlineStr">
        <is>
          <t>Landslide default</t>
        </is>
      </c>
    </row>
    <row r="212">
      <c r="A212" s="30" t="n">
        <v>1</v>
      </c>
      <c r="B212" s="30" t="n">
        <v>0.76</v>
      </c>
      <c r="C212" s="30" t="n">
        <v>1</v>
      </c>
      <c r="D212" s="30" t="n">
        <v>1</v>
      </c>
      <c r="E212" s="30" t="inlineStr">
        <is>
          <t>LS</t>
        </is>
      </c>
      <c r="F212" s="54" t="inlineStr">
        <is>
          <t>m/m</t>
        </is>
      </c>
      <c r="G212" s="54" t="inlineStr">
        <is>
          <t>Landslide default</t>
        </is>
      </c>
    </row>
    <row r="213">
      <c r="A213" s="30" t="n">
        <v>1</v>
      </c>
      <c r="B213" s="30" t="n">
        <v>0.775</v>
      </c>
      <c r="C213" s="30" t="n">
        <v>1</v>
      </c>
      <c r="D213" s="30" t="n">
        <v>1</v>
      </c>
      <c r="E213" s="30" t="inlineStr">
        <is>
          <t>LS</t>
        </is>
      </c>
      <c r="F213" s="54" t="inlineStr">
        <is>
          <t>m/m</t>
        </is>
      </c>
      <c r="G213" s="54" t="inlineStr">
        <is>
          <t>Landslide default</t>
        </is>
      </c>
    </row>
    <row r="214">
      <c r="A214" s="30" t="n">
        <v>1</v>
      </c>
      <c r="B214" s="30" t="n">
        <v>0.79</v>
      </c>
      <c r="C214" s="30" t="n">
        <v>1</v>
      </c>
      <c r="D214" s="30" t="n">
        <v>1</v>
      </c>
      <c r="E214" s="30" t="inlineStr">
        <is>
          <t>LS</t>
        </is>
      </c>
      <c r="F214" s="54" t="inlineStr">
        <is>
          <t>m/m</t>
        </is>
      </c>
      <c r="G214" s="54" t="inlineStr">
        <is>
          <t>Landslide default</t>
        </is>
      </c>
    </row>
    <row r="215">
      <c r="A215" s="30" t="n">
        <v>1</v>
      </c>
      <c r="B215" s="30" t="n">
        <v>0.8049999999999999</v>
      </c>
      <c r="C215" s="30" t="n">
        <v>1</v>
      </c>
      <c r="D215" s="30" t="n">
        <v>1</v>
      </c>
      <c r="E215" s="30" t="inlineStr">
        <is>
          <t>LS</t>
        </is>
      </c>
      <c r="F215" s="54" t="inlineStr">
        <is>
          <t>m/m</t>
        </is>
      </c>
      <c r="G215" s="54" t="inlineStr">
        <is>
          <t>Landslide default</t>
        </is>
      </c>
    </row>
    <row r="216">
      <c r="A216" s="30" t="n">
        <v>1</v>
      </c>
      <c r="B216" s="30" t="n">
        <v>0.8200000000000001</v>
      </c>
      <c r="C216" s="30" t="n">
        <v>1</v>
      </c>
      <c r="D216" s="30" t="n">
        <v>1</v>
      </c>
      <c r="E216" s="30" t="inlineStr">
        <is>
          <t>LS</t>
        </is>
      </c>
      <c r="F216" s="54" t="inlineStr">
        <is>
          <t>m/m</t>
        </is>
      </c>
      <c r="G216" s="54" t="inlineStr">
        <is>
          <t>Landslide default</t>
        </is>
      </c>
    </row>
    <row r="217">
      <c r="A217" s="30" t="n">
        <v>1</v>
      </c>
      <c r="B217" s="30" t="n">
        <v>0.835</v>
      </c>
      <c r="C217" s="30" t="n">
        <v>1</v>
      </c>
      <c r="D217" s="30" t="n">
        <v>1</v>
      </c>
      <c r="E217" s="30" t="inlineStr">
        <is>
          <t>LS</t>
        </is>
      </c>
      <c r="F217" s="54" t="inlineStr">
        <is>
          <t>m/m</t>
        </is>
      </c>
      <c r="G217" s="54" t="inlineStr">
        <is>
          <t>Landslide default</t>
        </is>
      </c>
    </row>
    <row r="218">
      <c r="A218" s="30" t="n">
        <v>1</v>
      </c>
      <c r="B218" s="30" t="n">
        <v>0.85</v>
      </c>
      <c r="C218" s="30" t="n">
        <v>1</v>
      </c>
      <c r="D218" s="30" t="n">
        <v>1</v>
      </c>
      <c r="E218" s="30" t="inlineStr">
        <is>
          <t>LS</t>
        </is>
      </c>
      <c r="F218" s="54" t="inlineStr">
        <is>
          <t>m/m</t>
        </is>
      </c>
      <c r="G218" s="54" t="inlineStr">
        <is>
          <t>Landslide default</t>
        </is>
      </c>
    </row>
    <row r="219">
      <c r="A219" s="30" t="n">
        <v>1</v>
      </c>
      <c r="B219" s="30" t="n">
        <v>0.865</v>
      </c>
      <c r="C219" s="30" t="n">
        <v>1</v>
      </c>
      <c r="D219" s="30" t="n">
        <v>1</v>
      </c>
      <c r="E219" s="30" t="inlineStr">
        <is>
          <t>LS</t>
        </is>
      </c>
      <c r="F219" s="54" t="inlineStr">
        <is>
          <t>m/m</t>
        </is>
      </c>
      <c r="G219" s="54" t="inlineStr">
        <is>
          <t>Landslide default</t>
        </is>
      </c>
    </row>
    <row r="220">
      <c r="A220" s="30" t="n">
        <v>1</v>
      </c>
      <c r="B220" s="30" t="n">
        <v>0.88</v>
      </c>
      <c r="C220" s="30" t="n">
        <v>1</v>
      </c>
      <c r="D220" s="30" t="n">
        <v>1</v>
      </c>
      <c r="E220" s="30" t="inlineStr">
        <is>
          <t>LS</t>
        </is>
      </c>
      <c r="F220" s="54" t="inlineStr">
        <is>
          <t>m/m</t>
        </is>
      </c>
      <c r="G220" s="54" t="inlineStr">
        <is>
          <t>Landslide default</t>
        </is>
      </c>
    </row>
    <row r="221">
      <c r="A221" s="30" t="n">
        <v>1</v>
      </c>
      <c r="B221" s="30" t="n">
        <v>0.895</v>
      </c>
      <c r="C221" s="30" t="n">
        <v>1</v>
      </c>
      <c r="D221" s="30" t="n">
        <v>1</v>
      </c>
      <c r="E221" s="30" t="inlineStr">
        <is>
          <t>LS</t>
        </is>
      </c>
      <c r="F221" s="54" t="inlineStr">
        <is>
          <t>m/m</t>
        </is>
      </c>
      <c r="G221" s="54" t="inlineStr">
        <is>
          <t>Landslide default</t>
        </is>
      </c>
    </row>
    <row r="222">
      <c r="A222" s="30" t="n">
        <v>1</v>
      </c>
      <c r="B222" s="30" t="n">
        <v>0.91</v>
      </c>
      <c r="C222" s="30" t="n">
        <v>1</v>
      </c>
      <c r="D222" s="30" t="n">
        <v>1</v>
      </c>
      <c r="E222" s="30" t="inlineStr">
        <is>
          <t>LS</t>
        </is>
      </c>
      <c r="F222" s="54" t="inlineStr">
        <is>
          <t>m/m</t>
        </is>
      </c>
      <c r="G222" s="54" t="inlineStr">
        <is>
          <t>Landslide default</t>
        </is>
      </c>
    </row>
    <row r="223">
      <c r="A223" s="30" t="n">
        <v>1</v>
      </c>
      <c r="B223" s="30" t="n">
        <v>0.925</v>
      </c>
      <c r="C223" s="30" t="n">
        <v>1</v>
      </c>
      <c r="D223" s="30" t="n">
        <v>1</v>
      </c>
      <c r="E223" s="30" t="inlineStr">
        <is>
          <t>LS</t>
        </is>
      </c>
      <c r="F223" s="54" t="inlineStr">
        <is>
          <t>m/m</t>
        </is>
      </c>
      <c r="G223" s="54" t="inlineStr">
        <is>
          <t>Landslide default</t>
        </is>
      </c>
    </row>
    <row r="224">
      <c r="A224" s="30" t="n">
        <v>1</v>
      </c>
      <c r="B224" s="30" t="n">
        <v>0.9399999999999999</v>
      </c>
      <c r="C224" s="30" t="n">
        <v>1</v>
      </c>
      <c r="D224" s="30" t="n">
        <v>1</v>
      </c>
      <c r="E224" s="30" t="inlineStr">
        <is>
          <t>LS</t>
        </is>
      </c>
      <c r="F224" s="54" t="inlineStr">
        <is>
          <t>m/m</t>
        </is>
      </c>
      <c r="G224" s="54" t="inlineStr">
        <is>
          <t>Landslide default</t>
        </is>
      </c>
    </row>
    <row r="225">
      <c r="A225" s="30" t="n">
        <v>1</v>
      </c>
      <c r="B225" s="30" t="n">
        <v>0.955</v>
      </c>
      <c r="C225" s="30" t="n">
        <v>1</v>
      </c>
      <c r="D225" s="30" t="n">
        <v>1</v>
      </c>
      <c r="E225" s="30" t="inlineStr">
        <is>
          <t>LS</t>
        </is>
      </c>
      <c r="F225" s="54" t="inlineStr">
        <is>
          <t>m/m</t>
        </is>
      </c>
      <c r="G225" s="54" t="inlineStr">
        <is>
          <t>Landslide default</t>
        </is>
      </c>
    </row>
    <row r="226">
      <c r="A226" s="30" t="n">
        <v>1</v>
      </c>
      <c r="B226" s="30" t="n">
        <v>0.97</v>
      </c>
      <c r="C226" s="30" t="n">
        <v>1</v>
      </c>
      <c r="D226" s="30" t="n">
        <v>1</v>
      </c>
      <c r="E226" s="30" t="inlineStr">
        <is>
          <t>LS</t>
        </is>
      </c>
      <c r="F226" s="54" t="inlineStr">
        <is>
          <t>m/m</t>
        </is>
      </c>
      <c r="G226" s="54" t="inlineStr">
        <is>
          <t>Landslide default</t>
        </is>
      </c>
    </row>
    <row r="227">
      <c r="A227" s="30" t="n">
        <v>1</v>
      </c>
      <c r="B227" s="30" t="n">
        <v>0.985</v>
      </c>
      <c r="C227" s="30" t="n">
        <v>1</v>
      </c>
      <c r="D227" s="30" t="n">
        <v>1</v>
      </c>
      <c r="E227" s="30" t="inlineStr">
        <is>
          <t>LS</t>
        </is>
      </c>
      <c r="F227" s="54" t="inlineStr">
        <is>
          <t>m/m</t>
        </is>
      </c>
      <c r="G227" s="54" t="inlineStr">
        <is>
          <t>Landslide default</t>
        </is>
      </c>
    </row>
    <row r="228">
      <c r="A228" s="30" t="n">
        <v>1</v>
      </c>
      <c r="B228" s="30" t="n">
        <v>1</v>
      </c>
      <c r="C228" s="30" t="n">
        <v>1</v>
      </c>
      <c r="D228" s="30" t="n">
        <v>1</v>
      </c>
      <c r="E228" s="30" t="inlineStr">
        <is>
          <t>LS</t>
        </is>
      </c>
      <c r="F228" s="54" t="inlineStr">
        <is>
          <t>m/m</t>
        </is>
      </c>
      <c r="G228" s="54" t="inlineStr">
        <is>
          <t>Landslide default</t>
        </is>
      </c>
    </row>
    <row r="229">
      <c r="A229" s="55" t="n">
        <v>3</v>
      </c>
      <c r="B229" s="55" t="n">
        <v>0</v>
      </c>
      <c r="C229" s="55" t="n">
        <v>0</v>
      </c>
      <c r="D229" s="55" t="n">
        <v>0</v>
      </c>
      <c r="E229" s="55" t="inlineStr">
        <is>
          <t>TC</t>
        </is>
      </c>
      <c r="F229" s="54" t="inlineStr">
        <is>
          <t>m/s</t>
        </is>
      </c>
      <c r="G229" s="54" t="inlineStr">
        <is>
          <t>TC Building code</t>
        </is>
      </c>
    </row>
    <row r="230">
      <c r="A230" s="55" t="n">
        <v>3</v>
      </c>
      <c r="B230" s="55" t="n">
        <v>20</v>
      </c>
      <c r="C230" s="55" t="n">
        <v>0</v>
      </c>
      <c r="D230" s="55" t="n">
        <v>0.004</v>
      </c>
      <c r="E230" s="55" t="inlineStr">
        <is>
          <t>TC</t>
        </is>
      </c>
      <c r="F230" s="54" t="inlineStr">
        <is>
          <t>m/s</t>
        </is>
      </c>
      <c r="G230" s="54" t="inlineStr">
        <is>
          <t>TC Building code</t>
        </is>
      </c>
    </row>
    <row r="231">
      <c r="A231" s="55" t="n">
        <v>3</v>
      </c>
      <c r="B231" s="55" t="n">
        <v>30</v>
      </c>
      <c r="C231" s="55" t="n">
        <v>0</v>
      </c>
      <c r="D231" s="55" t="n">
        <v>0</v>
      </c>
      <c r="E231" s="55" t="inlineStr">
        <is>
          <t>TC</t>
        </is>
      </c>
      <c r="F231" s="54" t="inlineStr">
        <is>
          <t>m/s</t>
        </is>
      </c>
      <c r="G231" s="54" t="inlineStr">
        <is>
          <t>TC Building code</t>
        </is>
      </c>
    </row>
    <row r="232">
      <c r="A232" s="55" t="n">
        <v>3</v>
      </c>
      <c r="B232" s="55" t="n">
        <v>40</v>
      </c>
      <c r="C232" s="55" t="n">
        <v>0.025</v>
      </c>
      <c r="D232" s="55" t="n">
        <v>0.16</v>
      </c>
      <c r="E232" s="55" t="inlineStr">
        <is>
          <t>TC</t>
        </is>
      </c>
      <c r="F232" s="54" t="inlineStr">
        <is>
          <t>m/s</t>
        </is>
      </c>
      <c r="G232" s="54" t="inlineStr">
        <is>
          <t>TC Building code</t>
        </is>
      </c>
    </row>
    <row r="233">
      <c r="A233" s="55" t="n">
        <v>3</v>
      </c>
      <c r="B233" s="55" t="n">
        <v>50</v>
      </c>
      <c r="C233" s="55" t="n">
        <v>0.05405405405405406</v>
      </c>
      <c r="D233" s="55" t="n">
        <v>0.37</v>
      </c>
      <c r="E233" s="55" t="inlineStr">
        <is>
          <t>TC</t>
        </is>
      </c>
      <c r="F233" s="54" t="inlineStr">
        <is>
          <t>m/s</t>
        </is>
      </c>
      <c r="G233" s="54" t="inlineStr">
        <is>
          <t>TC Building code</t>
        </is>
      </c>
    </row>
    <row r="234">
      <c r="A234" s="55" t="n">
        <v>3</v>
      </c>
      <c r="B234" s="55" t="n">
        <v>60</v>
      </c>
      <c r="C234" s="55" t="n">
        <v>0.1046153846153846</v>
      </c>
      <c r="D234" s="55" t="n">
        <v>0.65</v>
      </c>
      <c r="E234" s="55" t="inlineStr">
        <is>
          <t>TC</t>
        </is>
      </c>
      <c r="F234" s="54" t="inlineStr">
        <is>
          <t>m/s</t>
        </is>
      </c>
      <c r="G234" s="54" t="inlineStr">
        <is>
          <t>TC Building code</t>
        </is>
      </c>
    </row>
    <row r="235">
      <c r="A235" s="55" t="n">
        <v>3</v>
      </c>
      <c r="B235" s="55" t="n">
        <v>70</v>
      </c>
      <c r="C235" s="55" t="n">
        <v>0.2117647058823529</v>
      </c>
      <c r="D235" s="55" t="n">
        <v>0.85</v>
      </c>
      <c r="E235" s="55" t="inlineStr">
        <is>
          <t>TC</t>
        </is>
      </c>
      <c r="F235" s="54" t="inlineStr">
        <is>
          <t>m/s</t>
        </is>
      </c>
      <c r="G235" s="54" t="inlineStr">
        <is>
          <t>TC Building code</t>
        </is>
      </c>
    </row>
    <row r="236">
      <c r="A236" s="55" t="n">
        <v>3</v>
      </c>
      <c r="B236" s="55" t="n">
        <v>80</v>
      </c>
      <c r="C236" s="55" t="n">
        <v>0.4</v>
      </c>
      <c r="D236" s="55" t="n">
        <v>1</v>
      </c>
      <c r="E236" s="55" t="inlineStr">
        <is>
          <t>TC</t>
        </is>
      </c>
      <c r="F236" s="54" t="inlineStr">
        <is>
          <t>m/s</t>
        </is>
      </c>
      <c r="G236" s="54" t="inlineStr">
        <is>
          <t>TC Building code</t>
        </is>
      </c>
    </row>
    <row r="237">
      <c r="A237" s="55" t="n">
        <v>3</v>
      </c>
      <c r="B237" s="55" t="n">
        <v>100</v>
      </c>
      <c r="C237" s="55" t="n">
        <v>0.4</v>
      </c>
      <c r="D237" s="55" t="n">
        <v>1</v>
      </c>
      <c r="E237" s="55" t="inlineStr">
        <is>
          <t>TC</t>
        </is>
      </c>
      <c r="F237" s="54" t="inlineStr">
        <is>
          <t>m/s</t>
        </is>
      </c>
      <c r="G237" s="54" t="inlineStr">
        <is>
          <t>TC Building code</t>
        </is>
      </c>
    </row>
    <row r="238">
      <c r="A238" s="31" t="n">
        <v>1</v>
      </c>
      <c r="B238" s="31" t="n">
        <v>0</v>
      </c>
      <c r="C238" s="32" t="n">
        <v>0</v>
      </c>
      <c r="D238" s="32" t="n">
        <v>0</v>
      </c>
      <c r="E238" s="33" t="inlineStr">
        <is>
          <t>FL</t>
        </is>
      </c>
      <c r="F238" s="54" t="inlineStr">
        <is>
          <t>m</t>
        </is>
      </c>
      <c r="G238" s="54" t="inlineStr">
        <is>
          <t>Flood default</t>
        </is>
      </c>
    </row>
    <row r="239">
      <c r="A239" s="31" t="n">
        <v>1</v>
      </c>
      <c r="B239" s="31" t="n">
        <v>0.5</v>
      </c>
      <c r="C239" s="32" t="n">
        <v>0.01</v>
      </c>
      <c r="D239" s="32" t="n">
        <v>0.3934693402873666</v>
      </c>
      <c r="E239" s="33" t="inlineStr">
        <is>
          <t>FL</t>
        </is>
      </c>
      <c r="F239" s="54" t="inlineStr">
        <is>
          <t>m</t>
        </is>
      </c>
      <c r="G239" s="54" t="inlineStr">
        <is>
          <t>Flood default</t>
        </is>
      </c>
    </row>
    <row r="240">
      <c r="A240" s="31" t="n">
        <v>1</v>
      </c>
      <c r="B240" s="31" t="n">
        <v>1</v>
      </c>
      <c r="C240" s="32" t="n">
        <v>0.02</v>
      </c>
      <c r="D240" s="32" t="n">
        <v>0.6321205588285577</v>
      </c>
      <c r="E240" s="33" t="inlineStr">
        <is>
          <t>FL</t>
        </is>
      </c>
      <c r="F240" s="54" t="inlineStr">
        <is>
          <t>m</t>
        </is>
      </c>
      <c r="G240" s="54" t="inlineStr">
        <is>
          <t>Flood default</t>
        </is>
      </c>
    </row>
    <row r="241">
      <c r="A241" s="31" t="n">
        <v>1</v>
      </c>
      <c r="B241" s="31" t="n">
        <v>1.5</v>
      </c>
      <c r="C241" s="32" t="n">
        <v>0.05</v>
      </c>
      <c r="D241" s="32" t="n">
        <v>0.7768698398515702</v>
      </c>
      <c r="E241" s="33" t="inlineStr">
        <is>
          <t>FL</t>
        </is>
      </c>
      <c r="F241" s="54" t="inlineStr">
        <is>
          <t>m</t>
        </is>
      </c>
      <c r="G241" s="54" t="inlineStr">
        <is>
          <t>Flood default</t>
        </is>
      </c>
    </row>
    <row r="242">
      <c r="A242" s="31" t="n">
        <v>1</v>
      </c>
      <c r="B242" s="31" t="n">
        <v>2</v>
      </c>
      <c r="C242" s="32" t="n">
        <v>0.1</v>
      </c>
      <c r="D242" s="32" t="n">
        <v>0.8646647167633873</v>
      </c>
      <c r="E242" s="33" t="inlineStr">
        <is>
          <t>FL</t>
        </is>
      </c>
      <c r="F242" s="54" t="inlineStr">
        <is>
          <t>m</t>
        </is>
      </c>
      <c r="G242" s="54" t="inlineStr">
        <is>
          <t>Flood default</t>
        </is>
      </c>
    </row>
    <row r="243">
      <c r="A243" s="31" t="n">
        <v>1</v>
      </c>
      <c r="B243" s="31" t="n">
        <v>2.5</v>
      </c>
      <c r="C243" s="32" t="n">
        <v>0.2</v>
      </c>
      <c r="D243" s="32" t="n">
        <v>0.9179150013761012</v>
      </c>
      <c r="E243" s="33" t="inlineStr">
        <is>
          <t>FL</t>
        </is>
      </c>
      <c r="F243" s="54" t="inlineStr">
        <is>
          <t>m</t>
        </is>
      </c>
      <c r="G243" s="54" t="inlineStr">
        <is>
          <t>Flood default</t>
        </is>
      </c>
    </row>
    <row r="244">
      <c r="A244" s="31" t="n">
        <v>1</v>
      </c>
      <c r="B244" s="31" t="n">
        <v>3</v>
      </c>
      <c r="C244" s="32" t="n">
        <v>0.3</v>
      </c>
      <c r="D244" s="32" t="n">
        <v>0.950212931632136</v>
      </c>
      <c r="E244" s="33" t="inlineStr">
        <is>
          <t>FL</t>
        </is>
      </c>
      <c r="F244" s="54" t="inlineStr">
        <is>
          <t>m</t>
        </is>
      </c>
      <c r="G244" s="54" t="inlineStr">
        <is>
          <t>Flood default</t>
        </is>
      </c>
    </row>
    <row r="245">
      <c r="A245" s="31" t="n">
        <v>1</v>
      </c>
      <c r="B245" s="31" t="n">
        <v>3.5</v>
      </c>
      <c r="C245" s="32" t="n">
        <v>0.4</v>
      </c>
      <c r="D245" s="32" t="n">
        <v>0.9698026165776815</v>
      </c>
      <c r="E245" s="33" t="inlineStr">
        <is>
          <t>FL</t>
        </is>
      </c>
      <c r="F245" s="54" t="inlineStr">
        <is>
          <t>m</t>
        </is>
      </c>
      <c r="G245" s="54" t="inlineStr">
        <is>
          <t>Flood default</t>
        </is>
      </c>
    </row>
    <row r="246">
      <c r="A246" s="31" t="n">
        <v>1</v>
      </c>
      <c r="B246" s="31" t="n">
        <v>4</v>
      </c>
      <c r="C246" s="32" t="n">
        <v>0.5</v>
      </c>
      <c r="D246" s="32" t="n">
        <v>0.9816843611112658</v>
      </c>
      <c r="E246" s="33" t="inlineStr">
        <is>
          <t>FL</t>
        </is>
      </c>
      <c r="F246" s="54" t="inlineStr">
        <is>
          <t>m</t>
        </is>
      </c>
      <c r="G246" s="54" t="inlineStr">
        <is>
          <t>Flood default</t>
        </is>
      </c>
    </row>
    <row r="247">
      <c r="A247" s="31" t="n">
        <v>1</v>
      </c>
      <c r="B247" s="31" t="n">
        <v>4.5</v>
      </c>
      <c r="C247" s="32" t="n">
        <v>0.6</v>
      </c>
      <c r="D247" s="32" t="n">
        <v>0.9888910034617577</v>
      </c>
      <c r="E247" s="33" t="inlineStr">
        <is>
          <t>FL</t>
        </is>
      </c>
      <c r="F247" s="54" t="inlineStr">
        <is>
          <t>m</t>
        </is>
      </c>
      <c r="G247" s="54" t="inlineStr">
        <is>
          <t>Flood default</t>
        </is>
      </c>
    </row>
    <row r="248">
      <c r="A248" s="31" t="n">
        <v>1</v>
      </c>
      <c r="B248" s="31" t="n">
        <v>5</v>
      </c>
      <c r="C248" s="32" t="n">
        <v>0.65</v>
      </c>
      <c r="D248" s="32" t="n">
        <v>0.9932620530009145</v>
      </c>
      <c r="E248" s="33" t="inlineStr">
        <is>
          <t>FL</t>
        </is>
      </c>
      <c r="F248" s="54" t="inlineStr">
        <is>
          <t>m</t>
        </is>
      </c>
      <c r="G248" s="54" t="inlineStr">
        <is>
          <t>Flood default</t>
        </is>
      </c>
    </row>
    <row r="249">
      <c r="A249" s="31" t="n">
        <v>1</v>
      </c>
      <c r="B249" s="31" t="n">
        <v>5.5</v>
      </c>
      <c r="C249" s="32" t="n">
        <v>0.675</v>
      </c>
      <c r="D249" s="32" t="n">
        <v>0.995913228561536</v>
      </c>
      <c r="E249" s="33" t="inlineStr">
        <is>
          <t>FL</t>
        </is>
      </c>
      <c r="F249" s="54" t="inlineStr">
        <is>
          <t>m</t>
        </is>
      </c>
      <c r="G249" s="54" t="inlineStr">
        <is>
          <t>Flood default</t>
        </is>
      </c>
    </row>
    <row r="250">
      <c r="A250" s="31" t="n">
        <v>1</v>
      </c>
      <c r="B250" s="31" t="n">
        <v>6</v>
      </c>
      <c r="C250" s="32" t="n">
        <v>0.7</v>
      </c>
      <c r="D250" s="32" t="n">
        <v>0.9975212478233336</v>
      </c>
      <c r="E250" s="33" t="inlineStr">
        <is>
          <t>FL</t>
        </is>
      </c>
      <c r="F250" s="54" t="inlineStr">
        <is>
          <t>m</t>
        </is>
      </c>
      <c r="G250" s="54" t="inlineStr">
        <is>
          <t>Flood default</t>
        </is>
      </c>
    </row>
    <row r="251">
      <c r="A251" s="31" t="n">
        <v>1</v>
      </c>
      <c r="B251" s="31" t="n">
        <v>6.5</v>
      </c>
      <c r="C251" s="32" t="n">
        <v>0.71</v>
      </c>
      <c r="D251" s="32" t="n">
        <v>0.9984965608070224</v>
      </c>
      <c r="E251" s="33" t="inlineStr">
        <is>
          <t>FL</t>
        </is>
      </c>
      <c r="F251" s="54" t="inlineStr">
        <is>
          <t>m</t>
        </is>
      </c>
      <c r="G251" s="54" t="inlineStr">
        <is>
          <t>Flood default</t>
        </is>
      </c>
    </row>
    <row r="252">
      <c r="A252" s="31" t="n">
        <v>1</v>
      </c>
      <c r="B252" s="31" t="n">
        <v>7</v>
      </c>
      <c r="C252" s="32" t="n">
        <v>0.72</v>
      </c>
      <c r="D252" s="32" t="n">
        <v>0.9990881180344455</v>
      </c>
      <c r="E252" s="33" t="inlineStr">
        <is>
          <t>FL</t>
        </is>
      </c>
      <c r="F252" s="54" t="inlineStr">
        <is>
          <t>m</t>
        </is>
      </c>
      <c r="G252" s="54" t="inlineStr">
        <is>
          <t>Flood default</t>
        </is>
      </c>
    </row>
    <row r="253">
      <c r="A253" s="31" t="n">
        <v>1</v>
      </c>
      <c r="B253" s="31" t="n">
        <v>7.5</v>
      </c>
      <c r="C253" s="32" t="n">
        <v>0.725</v>
      </c>
      <c r="D253" s="32" t="n">
        <v>0.9994469156298522</v>
      </c>
      <c r="E253" s="33" t="inlineStr">
        <is>
          <t>FL</t>
        </is>
      </c>
      <c r="F253" s="54" t="inlineStr">
        <is>
          <t>m</t>
        </is>
      </c>
      <c r="G253" s="54" t="inlineStr">
        <is>
          <t>Flood default</t>
        </is>
      </c>
    </row>
    <row r="254">
      <c r="A254" s="31" t="n">
        <v>1</v>
      </c>
      <c r="B254" s="31" t="n">
        <v>8</v>
      </c>
      <c r="C254" s="32" t="n">
        <v>0.725</v>
      </c>
      <c r="D254" s="32" t="n">
        <v>0.9996645373720975</v>
      </c>
      <c r="E254" s="33" t="inlineStr">
        <is>
          <t>FL</t>
        </is>
      </c>
      <c r="F254" s="54" t="inlineStr">
        <is>
          <t>m</t>
        </is>
      </c>
      <c r="G254" s="54" t="inlineStr">
        <is>
          <t>Flood default</t>
        </is>
      </c>
    </row>
    <row r="255">
      <c r="A255" s="31" t="n">
        <v>1</v>
      </c>
      <c r="B255" s="31" t="n">
        <v>10</v>
      </c>
      <c r="C255" s="32" t="n">
        <v>0.725</v>
      </c>
      <c r="D255" s="32" t="n">
        <v>0.9999546000702375</v>
      </c>
      <c r="E255" s="33" t="inlineStr">
        <is>
          <t>FL</t>
        </is>
      </c>
      <c r="F255" s="54" t="inlineStr">
        <is>
          <t>m</t>
        </is>
      </c>
      <c r="G255" s="54" t="inlineStr">
        <is>
          <t>Flood default</t>
        </is>
      </c>
    </row>
    <row r="256">
      <c r="A256" s="35" t="n">
        <v>1</v>
      </c>
      <c r="B256" s="35" t="n">
        <v>16</v>
      </c>
      <c r="C256" s="44" t="n">
        <v>0.725</v>
      </c>
      <c r="D256" s="44" t="n">
        <v>0.9999998874648253</v>
      </c>
      <c r="E256" s="33" t="inlineStr">
        <is>
          <t>FL</t>
        </is>
      </c>
      <c r="F256" s="54" t="inlineStr">
        <is>
          <t>m</t>
        </is>
      </c>
      <c r="G256" s="54" t="inlineStr">
        <is>
          <t>Flood default</t>
        </is>
      </c>
    </row>
    <row r="257">
      <c r="A257" s="30" t="n">
        <v>1</v>
      </c>
      <c r="B257" s="30" t="n">
        <v>0</v>
      </c>
      <c r="C257" s="30" t="n">
        <v>0</v>
      </c>
      <c r="D257" s="30" t="n">
        <v>0</v>
      </c>
      <c r="E257" s="30" t="inlineStr">
        <is>
          <t>HS</t>
        </is>
      </c>
      <c r="F257" s="54" t="inlineStr">
        <is>
          <t>Ekin</t>
        </is>
      </c>
      <c r="G257" s="54" t="inlineStr">
        <is>
          <t>Hail default</t>
        </is>
      </c>
    </row>
    <row r="258">
      <c r="A258" s="30" t="n">
        <v>1</v>
      </c>
      <c r="B258" s="30" t="n">
        <v>200</v>
      </c>
      <c r="C258" s="30" t="n">
        <v>0</v>
      </c>
      <c r="D258" s="30" t="n">
        <v>0</v>
      </c>
      <c r="E258" s="30" t="inlineStr">
        <is>
          <t>HS</t>
        </is>
      </c>
      <c r="F258" s="54" t="inlineStr">
        <is>
          <t>Ekin</t>
        </is>
      </c>
      <c r="G258" s="54" t="inlineStr">
        <is>
          <t>Hail default</t>
        </is>
      </c>
    </row>
    <row r="259">
      <c r="A259" s="30" t="n">
        <v>1</v>
      </c>
      <c r="B259" s="30" t="n">
        <v>400</v>
      </c>
      <c r="C259" s="30" t="n">
        <v>0.01</v>
      </c>
      <c r="D259" s="30" t="n">
        <v>1e-05</v>
      </c>
      <c r="E259" s="30" t="inlineStr">
        <is>
          <t>HS</t>
        </is>
      </c>
      <c r="F259" s="54" t="inlineStr">
        <is>
          <t>Ekin</t>
        </is>
      </c>
      <c r="G259" s="54" t="inlineStr">
        <is>
          <t>Hail default</t>
        </is>
      </c>
    </row>
    <row r="260">
      <c r="A260" s="30" t="n">
        <v>1</v>
      </c>
      <c r="B260" s="30" t="n">
        <v>600</v>
      </c>
      <c r="C260" s="30" t="n">
        <v>0.012</v>
      </c>
      <c r="D260" s="30" t="n">
        <v>0.0001</v>
      </c>
      <c r="E260" s="30" t="inlineStr">
        <is>
          <t>HS</t>
        </is>
      </c>
      <c r="F260" s="54" t="inlineStr">
        <is>
          <t>Ekin</t>
        </is>
      </c>
      <c r="G260" s="54" t="inlineStr">
        <is>
          <t>Hail default</t>
        </is>
      </c>
    </row>
    <row r="261">
      <c r="A261" s="30" t="n">
        <v>1</v>
      </c>
      <c r="B261" s="30" t="n">
        <v>800</v>
      </c>
      <c r="C261" s="30" t="n">
        <v>0.013</v>
      </c>
      <c r="D261" s="30" t="n">
        <v>0.001</v>
      </c>
      <c r="E261" s="30" t="inlineStr">
        <is>
          <t>HS</t>
        </is>
      </c>
      <c r="F261" s="54" t="inlineStr">
        <is>
          <t>Ekin</t>
        </is>
      </c>
      <c r="G261" s="54" t="inlineStr">
        <is>
          <t>Hail default</t>
        </is>
      </c>
    </row>
    <row r="262">
      <c r="A262" s="30" t="n">
        <v>1</v>
      </c>
      <c r="B262" s="30" t="n">
        <v>1000</v>
      </c>
      <c r="C262" s="30" t="n">
        <v>0.014</v>
      </c>
      <c r="D262" s="30" t="n">
        <v>0.01</v>
      </c>
      <c r="E262" s="30" t="inlineStr">
        <is>
          <t>HS</t>
        </is>
      </c>
      <c r="F262" s="54" t="inlineStr">
        <is>
          <t>Ekin</t>
        </is>
      </c>
      <c r="G262" s="54" t="inlineStr">
        <is>
          <t>Hail default</t>
        </is>
      </c>
    </row>
    <row r="263">
      <c r="A263" s="30" t="n">
        <v>1</v>
      </c>
      <c r="B263" s="30" t="n">
        <v>1200</v>
      </c>
      <c r="C263" s="30" t="n">
        <v>0.019</v>
      </c>
      <c r="D263" s="30" t="n">
        <v>0.04</v>
      </c>
      <c r="E263" s="30" t="inlineStr">
        <is>
          <t>HS</t>
        </is>
      </c>
      <c r="F263" s="54" t="inlineStr">
        <is>
          <t>Ekin</t>
        </is>
      </c>
      <c r="G263" s="54" t="inlineStr">
        <is>
          <t>Hail default</t>
        </is>
      </c>
    </row>
    <row r="264">
      <c r="A264" s="30" t="n">
        <v>1</v>
      </c>
      <c r="B264" s="30" t="n">
        <v>1400</v>
      </c>
      <c r="C264" s="30" t="n">
        <v>0.022</v>
      </c>
      <c r="D264" s="30" t="n">
        <v>0.1</v>
      </c>
      <c r="E264" s="30" t="inlineStr">
        <is>
          <t>HS</t>
        </is>
      </c>
      <c r="F264" s="54" t="inlineStr">
        <is>
          <t>Ekin</t>
        </is>
      </c>
      <c r="G264" s="54" t="inlineStr">
        <is>
          <t>Hail default</t>
        </is>
      </c>
    </row>
    <row r="265">
      <c r="A265" s="30" t="n">
        <v>1</v>
      </c>
      <c r="B265" s="30" t="n">
        <v>1600</v>
      </c>
      <c r="C265" s="30" t="n">
        <v>0.029</v>
      </c>
      <c r="D265" s="30" t="n">
        <v>0.16</v>
      </c>
      <c r="E265" s="30" t="inlineStr">
        <is>
          <t>HS</t>
        </is>
      </c>
      <c r="F265" s="54" t="inlineStr">
        <is>
          <t>Ekin</t>
        </is>
      </c>
      <c r="G265" s="54" t="inlineStr">
        <is>
          <t>Hail default</t>
        </is>
      </c>
    </row>
    <row r="266">
      <c r="A266" s="30" t="n">
        <v>1</v>
      </c>
      <c r="B266" s="30" t="n">
        <v>1800</v>
      </c>
      <c r="C266" s="30" t="n">
        <v>0.038</v>
      </c>
      <c r="D266" s="30" t="n">
        <v>0.2</v>
      </c>
      <c r="E266" s="30" t="inlineStr">
        <is>
          <t>HS</t>
        </is>
      </c>
      <c r="F266" s="54" t="inlineStr">
        <is>
          <t>Ekin</t>
        </is>
      </c>
      <c r="G266" s="54" t="inlineStr">
        <is>
          <t>Hail default</t>
        </is>
      </c>
    </row>
    <row r="267">
      <c r="A267" s="30" t="n">
        <v>1</v>
      </c>
      <c r="B267" s="30" t="n">
        <v>2000</v>
      </c>
      <c r="C267" s="30" t="n">
        <v>0.048</v>
      </c>
      <c r="D267" s="30" t="n">
        <v>0.27</v>
      </c>
      <c r="E267" s="30" t="inlineStr">
        <is>
          <t>HS</t>
        </is>
      </c>
      <c r="F267" s="54" t="inlineStr">
        <is>
          <t>Ekin</t>
        </is>
      </c>
      <c r="G267" s="54" t="inlineStr">
        <is>
          <t>Hail default</t>
        </is>
      </c>
    </row>
    <row r="268">
      <c r="A268" s="30" t="n">
        <v>1</v>
      </c>
      <c r="B268" s="30" t="n">
        <v>2200</v>
      </c>
      <c r="C268" s="30" t="n">
        <v>0.059</v>
      </c>
      <c r="D268" s="30" t="n">
        <v>0.37</v>
      </c>
      <c r="E268" s="30" t="inlineStr">
        <is>
          <t>HS</t>
        </is>
      </c>
      <c r="F268" s="54" t="inlineStr">
        <is>
          <t>Ekin</t>
        </is>
      </c>
      <c r="G268" s="54" t="inlineStr">
        <is>
          <t>Hail default</t>
        </is>
      </c>
    </row>
    <row r="269">
      <c r="A269" s="30" t="n">
        <v>1</v>
      </c>
      <c r="B269" s="30" t="n">
        <v>2400</v>
      </c>
      <c r="C269" s="30" t="n">
        <v>0.07099999999999999</v>
      </c>
      <c r="D269" s="30" t="n">
        <v>0.49</v>
      </c>
      <c r="E269" s="30" t="inlineStr">
        <is>
          <t>HS</t>
        </is>
      </c>
      <c r="F269" s="54" t="inlineStr">
        <is>
          <t>Ekin</t>
        </is>
      </c>
      <c r="G269" s="54" t="inlineStr">
        <is>
          <t>Hail default</t>
        </is>
      </c>
    </row>
    <row r="270">
      <c r="A270" s="30" t="n">
        <v>1</v>
      </c>
      <c r="B270" s="30" t="n">
        <v>2600</v>
      </c>
      <c r="C270" s="30" t="n">
        <v>0.091</v>
      </c>
      <c r="D270" s="30" t="n">
        <v>0.57</v>
      </c>
      <c r="E270" s="30" t="inlineStr">
        <is>
          <t>HS</t>
        </is>
      </c>
      <c r="F270" s="54" t="inlineStr">
        <is>
          <t>Ekin</t>
        </is>
      </c>
      <c r="G270" s="54" t="inlineStr">
        <is>
          <t>Hail default</t>
        </is>
      </c>
    </row>
    <row r="271">
      <c r="A271" s="30" t="n">
        <v>1</v>
      </c>
      <c r="B271" s="30" t="n">
        <v>2800</v>
      </c>
      <c r="C271" s="30" t="n">
        <v>0.1</v>
      </c>
      <c r="D271" s="30" t="n">
        <v>0.6</v>
      </c>
      <c r="E271" s="30" t="inlineStr">
        <is>
          <t>HS</t>
        </is>
      </c>
      <c r="F271" s="54" t="inlineStr">
        <is>
          <t>Ekin</t>
        </is>
      </c>
      <c r="G271" s="54" t="inlineStr">
        <is>
          <t>Hail default</t>
        </is>
      </c>
    </row>
    <row r="272">
      <c r="A272" s="30" t="n">
        <v>1</v>
      </c>
      <c r="B272" s="30" t="n">
        <v>4000</v>
      </c>
      <c r="C272" s="30" t="n">
        <v>0.1</v>
      </c>
      <c r="D272" s="30" t="n">
        <v>0.6</v>
      </c>
      <c r="E272" s="30" t="inlineStr">
        <is>
          <t>HS</t>
        </is>
      </c>
      <c r="F272" s="54" t="inlineStr">
        <is>
          <t>Ekin</t>
        </is>
      </c>
      <c r="G272" s="54" t="inlineStr">
        <is>
          <t>Hail default</t>
        </is>
      </c>
    </row>
    <row r="273" ht="12.5" customHeight="1">
      <c r="A273" s="58" t="n">
        <v>1</v>
      </c>
      <c r="B273" s="58" t="n">
        <v>0</v>
      </c>
      <c r="C273" s="59" t="n">
        <v>0</v>
      </c>
      <c r="D273" s="59" t="n">
        <v>0</v>
      </c>
      <c r="E273" s="58" t="inlineStr">
        <is>
          <t>BF</t>
        </is>
      </c>
      <c r="F273" s="58" t="inlineStr">
        <is>
          <t>brightness</t>
        </is>
      </c>
      <c r="G273" s="58" t="inlineStr">
        <is>
          <t>bushfire default</t>
        </is>
      </c>
    </row>
    <row r="274" ht="12.5" customHeight="1">
      <c r="A274" s="58" t="n">
        <v>1</v>
      </c>
      <c r="B274" s="58" t="n">
        <v>30</v>
      </c>
      <c r="C274" s="59" t="n">
        <v>0.0001</v>
      </c>
      <c r="D274" s="59" t="n">
        <v>0.0025</v>
      </c>
      <c r="E274" s="58" t="inlineStr">
        <is>
          <t>BF</t>
        </is>
      </c>
      <c r="F274" s="58" t="inlineStr">
        <is>
          <t>brightness</t>
        </is>
      </c>
      <c r="G274" s="58" t="inlineStr">
        <is>
          <t>bushfire default</t>
        </is>
      </c>
    </row>
    <row r="275" ht="12.5" customHeight="1">
      <c r="A275" s="58" t="n">
        <v>1</v>
      </c>
      <c r="B275" s="58" t="n">
        <v>50</v>
      </c>
      <c r="C275" s="59" t="n">
        <v>0.001</v>
      </c>
      <c r="D275" s="59" t="n">
        <v>0.005</v>
      </c>
      <c r="E275" s="58" t="inlineStr">
        <is>
          <t>BF</t>
        </is>
      </c>
      <c r="F275" s="58" t="inlineStr">
        <is>
          <t>brightness</t>
        </is>
      </c>
      <c r="G275" s="58" t="inlineStr">
        <is>
          <t>bushfire default</t>
        </is>
      </c>
    </row>
    <row r="276" ht="12.5" customHeight="1">
      <c r="A276" s="58" t="n">
        <v>1</v>
      </c>
      <c r="B276" s="58" t="n">
        <v>100</v>
      </c>
      <c r="C276" s="59" t="n">
        <v>0.01</v>
      </c>
      <c r="D276" s="59" t="n">
        <v>0.025</v>
      </c>
      <c r="E276" s="58" t="inlineStr">
        <is>
          <t>BF</t>
        </is>
      </c>
      <c r="F276" s="58" t="inlineStr">
        <is>
          <t>brightness</t>
        </is>
      </c>
      <c r="G276" s="58" t="inlineStr">
        <is>
          <t>bushfire default</t>
        </is>
      </c>
    </row>
    <row r="277" ht="12.5" customHeight="1">
      <c r="A277" s="58" t="n">
        <v>1</v>
      </c>
      <c r="B277" s="58" t="n">
        <v>400</v>
      </c>
      <c r="C277" s="59" t="n">
        <v>0.1</v>
      </c>
      <c r="D277" s="59" t="n">
        <v>0.06</v>
      </c>
      <c r="E277" s="58" t="inlineStr">
        <is>
          <t>BF</t>
        </is>
      </c>
      <c r="F277" s="58" t="inlineStr">
        <is>
          <t>brightness</t>
        </is>
      </c>
      <c r="G277" s="58" t="inlineStr">
        <is>
          <t>bushfire default</t>
        </is>
      </c>
    </row>
    <row r="278" ht="12.5" customHeight="1">
      <c r="A278" s="58" t="n">
        <v>1</v>
      </c>
      <c r="B278" s="58" t="n">
        <v>600</v>
      </c>
      <c r="C278" s="59" t="n">
        <v>0.25</v>
      </c>
      <c r="D278" s="59" t="n">
        <v>0.125</v>
      </c>
      <c r="E278" s="58" t="inlineStr">
        <is>
          <t>BF</t>
        </is>
      </c>
      <c r="F278" s="58" t="inlineStr">
        <is>
          <t>brightness</t>
        </is>
      </c>
      <c r="G278" s="58" t="inlineStr">
        <is>
          <t>bushfire default</t>
        </is>
      </c>
    </row>
    <row r="279" ht="12.5" customHeight="1">
      <c r="A279" s="58" t="n">
        <v>1</v>
      </c>
      <c r="B279" s="58" t="n">
        <v>800</v>
      </c>
      <c r="C279" s="59" t="n">
        <v>0.45</v>
      </c>
      <c r="D279" s="59" t="n">
        <v>0.175</v>
      </c>
      <c r="E279" s="58" t="inlineStr">
        <is>
          <t>BF</t>
        </is>
      </c>
      <c r="F279" s="58" t="inlineStr">
        <is>
          <t>brightness</t>
        </is>
      </c>
      <c r="G279" s="58" t="inlineStr">
        <is>
          <t>bushfire default</t>
        </is>
      </c>
    </row>
    <row r="280" ht="12.5" customHeight="1">
      <c r="A280" s="58" t="n">
        <v>1</v>
      </c>
      <c r="B280" s="58" t="n">
        <v>1200</v>
      </c>
      <c r="C280" s="59" t="n">
        <v>0.85</v>
      </c>
      <c r="D280" s="59" t="n">
        <v>0.225</v>
      </c>
      <c r="E280" s="58" t="inlineStr">
        <is>
          <t>BF</t>
        </is>
      </c>
      <c r="F280" s="58" t="inlineStr">
        <is>
          <t>brightness</t>
        </is>
      </c>
      <c r="G280" s="58" t="inlineStr">
        <is>
          <t>bushfire default</t>
        </is>
      </c>
    </row>
    <row r="281" ht="12.5" customHeight="1">
      <c r="A281" s="58" t="n">
        <v>1</v>
      </c>
      <c r="B281" s="58" t="n">
        <v>1700</v>
      </c>
      <c r="C281" s="59" t="n">
        <v>1</v>
      </c>
      <c r="D281" s="59" t="n">
        <v>0.25</v>
      </c>
      <c r="E281" s="58" t="inlineStr">
        <is>
          <t>BF</t>
        </is>
      </c>
      <c r="F281" s="58" t="inlineStr">
        <is>
          <t>brightness</t>
        </is>
      </c>
      <c r="G281" s="58" t="inlineStr">
        <is>
          <t>bushfire default</t>
        </is>
      </c>
    </row>
    <row r="282">
      <c r="A282" s="31" t="n">
        <v>1</v>
      </c>
      <c r="B282" s="31" t="n">
        <v>0</v>
      </c>
      <c r="C282" s="32" t="n">
        <v>0</v>
      </c>
      <c r="D282" s="32" t="n">
        <v>1</v>
      </c>
      <c r="E282" s="33" t="inlineStr">
        <is>
          <t>RF</t>
        </is>
      </c>
      <c r="F282" s="54" t="inlineStr">
        <is>
          <t>m</t>
        </is>
      </c>
      <c r="G282" s="54" t="inlineStr">
        <is>
          <t>River flood default</t>
        </is>
      </c>
    </row>
    <row r="283">
      <c r="A283" s="31" t="n">
        <v>1</v>
      </c>
      <c r="B283" s="31" t="n">
        <v>0.5</v>
      </c>
      <c r="C283" s="32" t="n">
        <v>0.3266</v>
      </c>
      <c r="D283" s="32" t="n">
        <v>1</v>
      </c>
      <c r="E283" s="33" t="inlineStr">
        <is>
          <t>RF</t>
        </is>
      </c>
      <c r="F283" s="54" t="inlineStr">
        <is>
          <t>m</t>
        </is>
      </c>
      <c r="G283" s="54" t="inlineStr">
        <is>
          <t>River flood default</t>
        </is>
      </c>
    </row>
    <row r="284">
      <c r="A284" s="31" t="n">
        <v>1</v>
      </c>
      <c r="B284" s="31" t="n">
        <v>1</v>
      </c>
      <c r="C284" s="32" t="n">
        <v>0.4941</v>
      </c>
      <c r="D284" s="32" t="n">
        <v>1</v>
      </c>
      <c r="E284" s="33" t="inlineStr">
        <is>
          <t>RF</t>
        </is>
      </c>
      <c r="F284" s="54" t="inlineStr">
        <is>
          <t>m</t>
        </is>
      </c>
      <c r="G284" s="54" t="inlineStr">
        <is>
          <t>River flood default</t>
        </is>
      </c>
    </row>
    <row r="285">
      <c r="A285" s="31" t="n">
        <v>1</v>
      </c>
      <c r="B285" s="31" t="n">
        <v>1.5</v>
      </c>
      <c r="C285" s="32" t="n">
        <v>0.6166</v>
      </c>
      <c r="D285" s="32" t="n">
        <v>1</v>
      </c>
      <c r="E285" s="33" t="inlineStr">
        <is>
          <t>RF</t>
        </is>
      </c>
      <c r="F285" s="54" t="inlineStr">
        <is>
          <t>m</t>
        </is>
      </c>
      <c r="G285" s="54" t="inlineStr">
        <is>
          <t>River flood default</t>
        </is>
      </c>
    </row>
    <row r="286">
      <c r="A286" s="31" t="n">
        <v>1</v>
      </c>
      <c r="B286" s="31" t="n">
        <v>2</v>
      </c>
      <c r="C286" s="32" t="n">
        <v>0.7207</v>
      </c>
      <c r="D286" s="32" t="n">
        <v>1</v>
      </c>
      <c r="E286" s="33" t="inlineStr">
        <is>
          <t>RF</t>
        </is>
      </c>
      <c r="F286" s="54" t="inlineStr">
        <is>
          <t>m</t>
        </is>
      </c>
      <c r="G286" s="54" t="inlineStr">
        <is>
          <t>River flood default</t>
        </is>
      </c>
    </row>
    <row r="287">
      <c r="A287" s="31" t="n">
        <v>1</v>
      </c>
      <c r="B287" s="31" t="n">
        <v>3</v>
      </c>
      <c r="C287" s="32" t="n">
        <v>0.8695000000000001</v>
      </c>
      <c r="D287" s="32" t="n">
        <v>1</v>
      </c>
      <c r="E287" s="33" t="inlineStr">
        <is>
          <t>RF</t>
        </is>
      </c>
      <c r="F287" s="54" t="inlineStr">
        <is>
          <t>m</t>
        </is>
      </c>
      <c r="G287" s="54" t="inlineStr">
        <is>
          <t>River flood default</t>
        </is>
      </c>
    </row>
    <row r="288">
      <c r="A288" s="31" t="n">
        <v>1</v>
      </c>
      <c r="B288" s="31" t="n">
        <v>4</v>
      </c>
      <c r="C288" s="32" t="n">
        <v>0.9315</v>
      </c>
      <c r="D288" s="32" t="n">
        <v>1</v>
      </c>
      <c r="E288" s="33" t="inlineStr">
        <is>
          <t>RF</t>
        </is>
      </c>
      <c r="F288" s="54" t="inlineStr">
        <is>
          <t>m</t>
        </is>
      </c>
      <c r="G288" s="54" t="inlineStr">
        <is>
          <t>River flood default</t>
        </is>
      </c>
    </row>
    <row r="289">
      <c r="A289" s="31" t="n">
        <v>1</v>
      </c>
      <c r="B289" s="31" t="n">
        <v>5</v>
      </c>
      <c r="C289" s="32" t="n">
        <v>0.9836</v>
      </c>
      <c r="D289" s="32" t="n">
        <v>1</v>
      </c>
      <c r="E289" s="33" t="inlineStr">
        <is>
          <t>RF</t>
        </is>
      </c>
      <c r="F289" s="54" t="inlineStr">
        <is>
          <t>m</t>
        </is>
      </c>
      <c r="G289" s="54" t="inlineStr">
        <is>
          <t>River flood default</t>
        </is>
      </c>
    </row>
    <row r="290">
      <c r="A290" s="31" t="n">
        <v>1</v>
      </c>
      <c r="B290" s="31" t="n">
        <v>6</v>
      </c>
      <c r="C290" s="32" t="n">
        <v>1</v>
      </c>
      <c r="D290" s="32" t="n">
        <v>1</v>
      </c>
      <c r="E290" s="33" t="inlineStr">
        <is>
          <t>RF</t>
        </is>
      </c>
      <c r="F290" s="54" t="inlineStr">
        <is>
          <t>m</t>
        </is>
      </c>
      <c r="G290" s="54" t="inlineStr">
        <is>
          <t>River flood default</t>
        </is>
      </c>
    </row>
    <row r="291">
      <c r="A291" s="35" t="n">
        <v>1</v>
      </c>
      <c r="B291" s="35" t="n">
        <v>12</v>
      </c>
      <c r="C291" s="44" t="n">
        <v>1</v>
      </c>
      <c r="D291" s="44" t="n">
        <v>1</v>
      </c>
      <c r="E291" s="33" t="inlineStr">
        <is>
          <t>RF</t>
        </is>
      </c>
      <c r="F291" s="54" t="inlineStr">
        <is>
          <t>m</t>
        </is>
      </c>
      <c r="G291" s="54" t="inlineStr">
        <is>
          <t>River flood default</t>
        </is>
      </c>
    </row>
  </sheetData>
  <pageMargins left="0.7" right="0.7" top="0.75" bottom="0.75"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36"/>
  <sheetViews>
    <sheetView tabSelected="1" zoomScale="110" zoomScaleNormal="110" workbookViewId="0">
      <selection activeCell="C17" sqref="C17"/>
    </sheetView>
  </sheetViews>
  <sheetFormatPr baseColWidth="8" defaultColWidth="11.453125" defaultRowHeight="12.5"/>
  <cols>
    <col width="60.81640625" bestFit="1" customWidth="1" style="36" min="1" max="1"/>
    <col width="12.453125" bestFit="1" customWidth="1" style="36" min="2" max="2"/>
    <col width="12.54296875" bestFit="1" customWidth="1" style="36" min="3" max="3"/>
    <col width="20.81640625" bestFit="1" customWidth="1" style="36" min="4" max="5"/>
    <col width="23.7265625" bestFit="1" customWidth="1" style="36" min="6" max="6"/>
    <col width="14.1796875" bestFit="1" customWidth="1" style="36" min="7" max="7"/>
    <col width="12.453125" bestFit="1" customWidth="1" style="36" min="8" max="9"/>
    <col width="11.81640625" bestFit="1" customWidth="1" style="36" min="10" max="11"/>
    <col width="18.7265625" bestFit="1" customWidth="1" style="36" min="12" max="12"/>
    <col width="8.81640625" bestFit="1" customWidth="1" style="36" min="13" max="13"/>
    <col width="9.453125" bestFit="1" customWidth="1" style="36" min="14" max="14"/>
    <col width="20.7265625" bestFit="1" customWidth="1" style="36" min="15" max="15"/>
    <col width="15.26953125" bestFit="1" customWidth="1" style="36" min="16" max="16"/>
    <col width="19.453125" bestFit="1" customWidth="1" style="36" min="17" max="17"/>
    <col width="7" bestFit="1" customWidth="1" style="36" min="18" max="18"/>
    <col width="11.453125" customWidth="1" style="36" min="19" max="16384"/>
  </cols>
  <sheetData>
    <row r="1">
      <c r="A1" s="36" t="inlineStr">
        <is>
          <t>name</t>
        </is>
      </c>
      <c r="B1" s="36" t="inlineStr">
        <is>
          <t>color</t>
        </is>
      </c>
      <c r="C1" s="36" t="inlineStr">
        <is>
          <t>cost</t>
        </is>
      </c>
      <c r="D1" s="36" t="inlineStr">
        <is>
          <t>hazard intensity impact a</t>
        </is>
      </c>
      <c r="E1" s="36" t="inlineStr">
        <is>
          <t>hazard intensity impact b</t>
        </is>
      </c>
      <c r="F1" s="36" t="inlineStr">
        <is>
          <t>hazard high frequency cutoff</t>
        </is>
      </c>
      <c r="G1" s="36" t="inlineStr">
        <is>
          <t>hazard event set</t>
        </is>
      </c>
      <c r="H1" s="36" t="inlineStr">
        <is>
          <t>MDD impact a</t>
        </is>
      </c>
      <c r="I1" s="36" t="inlineStr">
        <is>
          <t>MDD impact b</t>
        </is>
      </c>
      <c r="J1" s="36" t="inlineStr">
        <is>
          <t>PAA impact a</t>
        </is>
      </c>
      <c r="K1" s="36" t="inlineStr">
        <is>
          <t>PAA impact b</t>
        </is>
      </c>
      <c r="L1" s="36" t="inlineStr">
        <is>
          <t>damagefunctions map</t>
        </is>
      </c>
      <c r="M1" s="36" t="inlineStr">
        <is>
          <t>assets file</t>
        </is>
      </c>
      <c r="N1" s="36" t="inlineStr">
        <is>
          <t>Region_ID</t>
        </is>
      </c>
      <c r="O1" s="36" t="inlineStr">
        <is>
          <t>risk transfer attachement</t>
        </is>
      </c>
      <c r="P1" s="36" t="inlineStr">
        <is>
          <t>risk transfer cover</t>
        </is>
      </c>
      <c r="Q1" s="36" t="inlineStr">
        <is>
          <t>risk transfer cost factor</t>
        </is>
      </c>
      <c r="R1" s="36" t="inlineStr">
        <is>
          <t>peril_ID</t>
        </is>
      </c>
      <c r="S1" t="inlineStr">
        <is>
          <t>code</t>
        </is>
      </c>
    </row>
    <row r="2">
      <c r="A2" s="36" t="inlineStr">
        <is>
          <t>adaptation_measures_green_roofs</t>
        </is>
      </c>
      <c r="B2" s="36" t="inlineStr">
        <is>
          <t>0 0.42 0.36</t>
        </is>
      </c>
      <c r="C2" s="36" t="n">
        <v>20000000</v>
      </c>
      <c r="D2" s="36" t="n">
        <v>1</v>
      </c>
      <c r="E2" s="36" t="n">
        <v>0</v>
      </c>
      <c r="F2" s="36" t="n">
        <v>0</v>
      </c>
      <c r="G2" s="36" t="inlineStr">
        <is>
          <t>nil</t>
        </is>
      </c>
      <c r="H2" s="36" t="n">
        <v>0.6899999999999999</v>
      </c>
      <c r="I2" s="36" t="n">
        <v>0</v>
      </c>
      <c r="J2" s="36" t="n">
        <v>1</v>
      </c>
      <c r="K2" s="36" t="n">
        <v>0</v>
      </c>
      <c r="L2" s="36" t="inlineStr">
        <is>
          <t>nil</t>
        </is>
      </c>
      <c r="M2" s="36" t="inlineStr">
        <is>
          <t>nil</t>
        </is>
      </c>
      <c r="N2" s="36" t="n">
        <v>0</v>
      </c>
      <c r="O2" s="36" t="n">
        <v>0</v>
      </c>
      <c r="P2" s="36" t="n">
        <v>0</v>
      </c>
      <c r="Q2" s="36" t="n">
        <v>1</v>
      </c>
      <c r="R2" s="36" t="inlineStr">
        <is>
          <t>HW</t>
        </is>
      </c>
      <c r="S2" t="inlineStr">
        <is>
          <t>GR</t>
        </is>
      </c>
    </row>
    <row r="3">
      <c r="A3" s="36" t="inlineStr">
        <is>
          <t>adaptation_measures_trees_planting</t>
        </is>
      </c>
      <c r="B3" s="36" t="inlineStr">
        <is>
          <t>0.01 0.67 0.51</t>
        </is>
      </c>
      <c r="C3" s="36" t="n">
        <v>31120331.95020747</v>
      </c>
      <c r="D3" s="36" t="n">
        <v>1</v>
      </c>
      <c r="E3" s="36" t="n">
        <v>0</v>
      </c>
      <c r="F3" s="36" t="n">
        <v>0</v>
      </c>
      <c r="G3" s="36" t="inlineStr">
        <is>
          <t>nil</t>
        </is>
      </c>
      <c r="H3" s="36" t="n">
        <v>0.675</v>
      </c>
      <c r="I3" s="36" t="n">
        <v>0</v>
      </c>
      <c r="J3" s="36" t="n">
        <v>1</v>
      </c>
      <c r="K3" s="36" t="n">
        <v>0</v>
      </c>
      <c r="L3" s="36" t="inlineStr">
        <is>
          <t>nil</t>
        </is>
      </c>
      <c r="M3" s="36" t="inlineStr">
        <is>
          <t>nil</t>
        </is>
      </c>
      <c r="N3" s="36" t="n">
        <v>0</v>
      </c>
      <c r="O3" s="36" t="n">
        <v>0</v>
      </c>
      <c r="P3" s="36" t="n">
        <v>0</v>
      </c>
      <c r="Q3" s="36" t="n">
        <v>1</v>
      </c>
      <c r="R3" s="36" t="inlineStr">
        <is>
          <t>HW</t>
        </is>
      </c>
      <c r="S3" t="inlineStr">
        <is>
          <t>TP</t>
        </is>
      </c>
    </row>
    <row r="4">
      <c r="A4" s="36" t="inlineStr">
        <is>
          <t>adaptation_measures_green_spaces</t>
        </is>
      </c>
      <c r="B4" s="62" t="inlineStr">
        <is>
          <t>0 0.42 0.36</t>
        </is>
      </c>
      <c r="C4" s="61" t="n">
        <v>1145000</v>
      </c>
      <c r="D4" s="36" t="n">
        <v>1</v>
      </c>
      <c r="E4" s="36" t="n">
        <v>0</v>
      </c>
      <c r="F4" s="36" t="n">
        <v>0</v>
      </c>
      <c r="G4" s="36" t="inlineStr">
        <is>
          <t>nil</t>
        </is>
      </c>
      <c r="H4" s="36" t="n">
        <v>0.39</v>
      </c>
      <c r="I4" s="36" t="n">
        <v>-0.05</v>
      </c>
      <c r="J4" s="36" t="n">
        <v>1</v>
      </c>
      <c r="K4" s="36" t="n">
        <v>0</v>
      </c>
      <c r="L4" s="36" t="inlineStr">
        <is>
          <t>nil</t>
        </is>
      </c>
      <c r="M4" s="36" t="inlineStr">
        <is>
          <t>nil</t>
        </is>
      </c>
      <c r="N4" s="36" t="n">
        <v>0</v>
      </c>
      <c r="O4" s="36" t="n">
        <v>0</v>
      </c>
      <c r="P4" s="36" t="n">
        <v>0</v>
      </c>
      <c r="Q4" s="36" t="n">
        <v>1</v>
      </c>
      <c r="R4" s="36" t="inlineStr">
        <is>
          <t>HW</t>
        </is>
      </c>
      <c r="S4" t="inlineStr">
        <is>
          <t>GS</t>
        </is>
      </c>
    </row>
    <row r="5">
      <c r="A5" s="36" t="inlineStr">
        <is>
          <t>adaptation_measures_green_white_roofs</t>
        </is>
      </c>
      <c r="B5" s="63" t="inlineStr">
        <is>
          <t>0.01 0.67 0.51</t>
        </is>
      </c>
      <c r="C5" s="61" t="n">
        <v>298778.1828936443</v>
      </c>
      <c r="D5" s="36" t="n">
        <v>1</v>
      </c>
      <c r="E5" s="36" t="n">
        <v>0</v>
      </c>
      <c r="F5" s="36" t="n">
        <v>0</v>
      </c>
      <c r="G5" s="36" t="inlineStr">
        <is>
          <t>nil</t>
        </is>
      </c>
      <c r="H5" s="36" t="n">
        <v>0.75</v>
      </c>
      <c r="I5" s="36" t="n">
        <v>0.06</v>
      </c>
      <c r="J5" s="36" t="n">
        <v>1</v>
      </c>
      <c r="K5" s="36" t="n">
        <v>0</v>
      </c>
      <c r="L5" s="36" t="inlineStr">
        <is>
          <t>nil</t>
        </is>
      </c>
      <c r="M5" s="36" t="inlineStr">
        <is>
          <t>nil</t>
        </is>
      </c>
      <c r="N5" s="36" t="n">
        <v>0</v>
      </c>
      <c r="O5" s="36" t="n">
        <v>0</v>
      </c>
      <c r="P5" s="36" t="n">
        <v>0</v>
      </c>
      <c r="Q5" s="36" t="n">
        <v>1</v>
      </c>
      <c r="R5" s="36" t="inlineStr">
        <is>
          <t>HW</t>
        </is>
      </c>
      <c r="S5" t="inlineStr"/>
    </row>
    <row r="6">
      <c r="A6" s="36" t="inlineStr">
        <is>
          <t>adaptation_measures_early_warning_system</t>
        </is>
      </c>
      <c r="B6" s="36" t="inlineStr">
        <is>
          <t>0.93 0.33 0.34</t>
        </is>
      </c>
      <c r="C6" s="36" t="n">
        <v>22370744.8520311</v>
      </c>
      <c r="D6" s="36" t="n">
        <v>1</v>
      </c>
      <c r="E6" s="36" t="n">
        <v>0</v>
      </c>
      <c r="F6" s="36" t="n">
        <v>0</v>
      </c>
      <c r="G6" s="36" t="inlineStr">
        <is>
          <t>nil</t>
        </is>
      </c>
      <c r="H6" s="36" t="n">
        <v>0.78</v>
      </c>
      <c r="I6" s="36" t="n">
        <v>0</v>
      </c>
      <c r="J6" s="36" t="n">
        <v>1</v>
      </c>
      <c r="K6" s="36" t="n">
        <v>0</v>
      </c>
      <c r="L6" s="36" t="inlineStr">
        <is>
          <t>nil</t>
        </is>
      </c>
      <c r="M6" s="36" t="inlineStr">
        <is>
          <t>nil</t>
        </is>
      </c>
      <c r="N6" s="36" t="n">
        <v>0</v>
      </c>
      <c r="O6" s="36" t="n">
        <v>0</v>
      </c>
      <c r="P6" s="36" t="n">
        <v>0</v>
      </c>
      <c r="Q6" s="36" t="n">
        <v>1</v>
      </c>
      <c r="R6" s="36" t="inlineStr">
        <is>
          <t>HW</t>
        </is>
      </c>
      <c r="S6" t="inlineStr">
        <is>
          <t>EWS</t>
        </is>
      </c>
    </row>
    <row r="7">
      <c r="A7" s="36" t="inlineStr">
        <is>
          <t>adaptation_measures_training_on_adaptation_agricultural_practices</t>
        </is>
      </c>
      <c r="B7" s="36" t="inlineStr">
        <is>
          <t>1 0.5 0.4</t>
        </is>
      </c>
      <c r="C7" s="36" t="n">
        <v>35952982.79790714</v>
      </c>
      <c r="D7" s="36" t="n">
        <v>1</v>
      </c>
      <c r="E7" s="36" t="n">
        <v>0</v>
      </c>
      <c r="F7" s="36" t="n">
        <v>0</v>
      </c>
      <c r="G7" s="36" t="inlineStr">
        <is>
          <t>nil</t>
        </is>
      </c>
      <c r="H7" s="36" t="n">
        <v>0.75</v>
      </c>
      <c r="I7" s="36" t="n">
        <v>0</v>
      </c>
      <c r="J7" s="36" t="n">
        <v>1</v>
      </c>
      <c r="K7" s="36" t="n">
        <v>0</v>
      </c>
      <c r="L7" s="36" t="inlineStr">
        <is>
          <t>nil</t>
        </is>
      </c>
      <c r="M7" s="36" t="inlineStr">
        <is>
          <t>nil</t>
        </is>
      </c>
      <c r="N7" s="36" t="n">
        <v>0</v>
      </c>
      <c r="O7" s="36" t="n">
        <v>0</v>
      </c>
      <c r="P7" s="36" t="n">
        <v>0</v>
      </c>
      <c r="Q7" s="36" t="n">
        <v>1</v>
      </c>
      <c r="R7" s="36" t="inlineStr">
        <is>
          <t>HW</t>
        </is>
      </c>
      <c r="S7" t="inlineStr"/>
    </row>
    <row r="8">
      <c r="A8" s="36" t="inlineStr">
        <is>
          <t>adaptation_measures_water_saving_cultivation_and_production_practices</t>
        </is>
      </c>
      <c r="B8" s="36" t="inlineStr">
        <is>
          <t>0.09 0.44 0.61</t>
        </is>
      </c>
      <c r="C8" s="36" t="n">
        <v>34035490.38201877</v>
      </c>
      <c r="D8" s="36" t="n">
        <v>1</v>
      </c>
      <c r="E8" s="36" t="n">
        <v>0</v>
      </c>
      <c r="F8" s="36" t="n">
        <v>0</v>
      </c>
      <c r="G8" s="36" t="inlineStr">
        <is>
          <t>nil</t>
        </is>
      </c>
      <c r="H8" s="36" t="n">
        <v>0.8</v>
      </c>
      <c r="I8" s="36" t="n">
        <v>0</v>
      </c>
      <c r="J8" s="36" t="n">
        <v>1</v>
      </c>
      <c r="K8" s="36" t="n">
        <v>0</v>
      </c>
      <c r="L8" s="36" t="inlineStr">
        <is>
          <t>nil</t>
        </is>
      </c>
      <c r="M8" s="36" t="inlineStr">
        <is>
          <t>nil</t>
        </is>
      </c>
      <c r="N8" s="36" t="n">
        <v>0</v>
      </c>
      <c r="O8" s="36" t="n">
        <v>0</v>
      </c>
      <c r="P8" s="36" t="n">
        <v>0</v>
      </c>
      <c r="Q8" s="36" t="n">
        <v>1</v>
      </c>
      <c r="R8" s="36" t="inlineStr">
        <is>
          <t>HW</t>
        </is>
      </c>
      <c r="S8" t="inlineStr"/>
    </row>
    <row r="9">
      <c r="A9" s="36" t="inlineStr">
        <is>
          <t>adaptation_measures_research_and_monitoring</t>
        </is>
      </c>
      <c r="B9" s="36" t="inlineStr">
        <is>
          <t>1 0.75 0.6</t>
        </is>
      </c>
      <c r="C9" s="36" t="n">
        <v>22398708.28309615</v>
      </c>
      <c r="D9" s="36" t="n">
        <v>1</v>
      </c>
      <c r="E9" s="36" t="n">
        <v>0</v>
      </c>
      <c r="F9" s="36" t="n">
        <v>0</v>
      </c>
      <c r="G9" s="36" t="inlineStr">
        <is>
          <t>nil</t>
        </is>
      </c>
      <c r="H9" s="36" t="n">
        <v>0.67999</v>
      </c>
      <c r="I9" s="36" t="n">
        <v>0.057</v>
      </c>
      <c r="J9" s="36" t="n">
        <v>1</v>
      </c>
      <c r="K9" s="36" t="n">
        <v>0</v>
      </c>
      <c r="L9" s="36" t="inlineStr">
        <is>
          <t>nil</t>
        </is>
      </c>
      <c r="M9" s="36" t="inlineStr">
        <is>
          <t>nil</t>
        </is>
      </c>
      <c r="N9" s="36" t="n">
        <v>0</v>
      </c>
      <c r="O9" s="36" t="n">
        <v>0</v>
      </c>
      <c r="P9" s="36" t="n">
        <v>0</v>
      </c>
      <c r="Q9" s="36" t="n">
        <v>1</v>
      </c>
      <c r="R9" s="36" t="inlineStr">
        <is>
          <t>HW</t>
        </is>
      </c>
      <c r="S9" t="inlineStr"/>
    </row>
    <row r="10">
      <c r="A10" s="36" t="inlineStr">
        <is>
          <t>adaptation_measures_climate_smart_agriculture</t>
        </is>
      </c>
      <c r="B10" s="36" t="inlineStr">
        <is>
          <t>0.38 0.75 0.6</t>
        </is>
      </c>
      <c r="C10" s="36" t="n">
        <v>113132052.5374145</v>
      </c>
      <c r="D10" s="36" t="n">
        <v>1</v>
      </c>
      <c r="E10" s="36" t="n">
        <v>0</v>
      </c>
      <c r="F10" s="36" t="n">
        <v>0</v>
      </c>
      <c r="G10" s="36" t="inlineStr">
        <is>
          <t>nil</t>
        </is>
      </c>
      <c r="H10" s="36" t="n">
        <v>0.6</v>
      </c>
      <c r="I10" s="36" t="n">
        <v>0</v>
      </c>
      <c r="J10" s="36" t="n">
        <v>1</v>
      </c>
      <c r="K10" s="36" t="n">
        <v>0</v>
      </c>
      <c r="L10" s="36" t="inlineStr">
        <is>
          <t>nil</t>
        </is>
      </c>
      <c r="M10" s="36" t="inlineStr">
        <is>
          <t>nil</t>
        </is>
      </c>
      <c r="N10" s="36" t="n">
        <v>0</v>
      </c>
      <c r="O10" s="36" t="n">
        <v>0</v>
      </c>
      <c r="P10" s="36" t="n">
        <v>0</v>
      </c>
      <c r="Q10" s="36" t="n">
        <v>1</v>
      </c>
      <c r="R10" s="36" t="inlineStr">
        <is>
          <t>HW</t>
        </is>
      </c>
      <c r="S10" t="inlineStr">
        <is>
          <t>CSA</t>
        </is>
      </c>
    </row>
    <row r="11">
      <c r="A11" s="36" t="inlineStr">
        <is>
          <t>adaptation_measures_green_building_codes</t>
        </is>
      </c>
      <c r="B11" s="36" t="inlineStr">
        <is>
          <t>1 0.89 0.84</t>
        </is>
      </c>
      <c r="C11" s="36" t="n">
        <v>196542972.6285591</v>
      </c>
      <c r="D11" s="36" t="n">
        <v>1</v>
      </c>
      <c r="E11" s="36" t="n">
        <v>0</v>
      </c>
      <c r="F11" s="36" t="n">
        <v>0</v>
      </c>
      <c r="G11" s="36" t="inlineStr">
        <is>
          <t>nil</t>
        </is>
      </c>
      <c r="H11" s="36" t="n">
        <v>0.55</v>
      </c>
      <c r="I11" s="36" t="n">
        <v>0</v>
      </c>
      <c r="J11" s="36" t="n">
        <v>1</v>
      </c>
      <c r="K11" s="36" t="n">
        <v>0</v>
      </c>
      <c r="L11" s="36" t="inlineStr">
        <is>
          <t>nil</t>
        </is>
      </c>
      <c r="M11" s="36" t="inlineStr">
        <is>
          <t>nil</t>
        </is>
      </c>
      <c r="N11" s="36" t="n">
        <v>0</v>
      </c>
      <c r="O11" s="36" t="n">
        <v>0</v>
      </c>
      <c r="P11" s="36" t="n">
        <v>0</v>
      </c>
      <c r="Q11" s="36" t="n">
        <v>1</v>
      </c>
      <c r="R11" s="36" t="inlineStr">
        <is>
          <t>HW</t>
        </is>
      </c>
      <c r="S11" t="inlineStr">
        <is>
          <t>GBC</t>
        </is>
      </c>
    </row>
    <row r="12">
      <c r="A12" s="36" t="inlineStr">
        <is>
          <t>adaptation_measures_green_roofs</t>
        </is>
      </c>
      <c r="B12" s="36" t="inlineStr">
        <is>
          <t>0 0.42 0.36</t>
        </is>
      </c>
      <c r="C12" s="36" t="n">
        <v>3600000</v>
      </c>
      <c r="D12" s="36" t="n">
        <v>1</v>
      </c>
      <c r="E12" s="36" t="n">
        <v>0</v>
      </c>
      <c r="F12" s="36" t="n">
        <v>0</v>
      </c>
      <c r="G12" s="36" t="inlineStr">
        <is>
          <t>nil</t>
        </is>
      </c>
      <c r="H12" s="36" t="n">
        <v>0.6899999999999999</v>
      </c>
      <c r="I12" s="36" t="n">
        <v>0</v>
      </c>
      <c r="J12" s="36" t="n">
        <v>1</v>
      </c>
      <c r="K12" s="36" t="n">
        <v>0</v>
      </c>
      <c r="L12" s="36" t="inlineStr">
        <is>
          <t>nil</t>
        </is>
      </c>
      <c r="M12" s="36" t="inlineStr">
        <is>
          <t>nil</t>
        </is>
      </c>
      <c r="N12" s="36" t="n">
        <v>0</v>
      </c>
      <c r="O12" s="36" t="n">
        <v>0</v>
      </c>
      <c r="P12" s="36" t="n">
        <v>0</v>
      </c>
      <c r="Q12" s="36" t="n">
        <v>1</v>
      </c>
      <c r="R12" s="36" t="inlineStr">
        <is>
          <t>HW</t>
        </is>
      </c>
      <c r="S12" t="inlineStr">
        <is>
          <t>GR</t>
        </is>
      </c>
    </row>
    <row r="13">
      <c r="A13" s="36" t="inlineStr">
        <is>
          <t>adaptation_measures_trees_planting</t>
        </is>
      </c>
      <c r="B13" s="36" t="inlineStr">
        <is>
          <t>0.01 0.67 0.51</t>
        </is>
      </c>
      <c r="C13" s="36" t="n">
        <v>5601659.751037344</v>
      </c>
      <c r="D13" s="36" t="n">
        <v>1</v>
      </c>
      <c r="E13" s="36" t="n">
        <v>0</v>
      </c>
      <c r="F13" s="36" t="n">
        <v>0</v>
      </c>
      <c r="G13" s="36" t="inlineStr">
        <is>
          <t>nil</t>
        </is>
      </c>
      <c r="H13" s="36" t="n">
        <v>0.675</v>
      </c>
      <c r="I13" s="36" t="n">
        <v>0</v>
      </c>
      <c r="J13" s="36" t="n">
        <v>1</v>
      </c>
      <c r="K13" s="36" t="n">
        <v>0</v>
      </c>
      <c r="L13" s="36" t="inlineStr">
        <is>
          <t>nil</t>
        </is>
      </c>
      <c r="M13" s="36" t="inlineStr">
        <is>
          <t>nil</t>
        </is>
      </c>
      <c r="N13" s="36" t="n">
        <v>0</v>
      </c>
      <c r="O13" s="36" t="n">
        <v>0</v>
      </c>
      <c r="P13" s="36" t="n">
        <v>0</v>
      </c>
      <c r="Q13" s="36" t="n">
        <v>1</v>
      </c>
      <c r="R13" s="36" t="inlineStr">
        <is>
          <t>HW</t>
        </is>
      </c>
      <c r="S13" t="inlineStr">
        <is>
          <t>TP</t>
        </is>
      </c>
    </row>
    <row r="14">
      <c r="A14" s="36" t="inlineStr">
        <is>
          <t>adaptation_measures_early_warning_system</t>
        </is>
      </c>
      <c r="B14" s="36" t="inlineStr">
        <is>
          <t>0.93 0.33 0.34</t>
        </is>
      </c>
      <c r="C14" s="36" t="n">
        <v>4026734.073365598</v>
      </c>
      <c r="D14" s="36" t="n">
        <v>1</v>
      </c>
      <c r="E14" s="36" t="n">
        <v>0</v>
      </c>
      <c r="F14" s="36" t="n">
        <v>0</v>
      </c>
      <c r="G14" s="36" t="inlineStr">
        <is>
          <t>nil</t>
        </is>
      </c>
      <c r="H14" s="36" t="n">
        <v>0.78</v>
      </c>
      <c r="I14" s="36" t="n">
        <v>0</v>
      </c>
      <c r="J14" s="36" t="n">
        <v>1</v>
      </c>
      <c r="K14" s="36" t="n">
        <v>0</v>
      </c>
      <c r="L14" s="36" t="inlineStr">
        <is>
          <t>nil</t>
        </is>
      </c>
      <c r="M14" s="36" t="inlineStr">
        <is>
          <t>nil</t>
        </is>
      </c>
      <c r="N14" s="36" t="n">
        <v>0</v>
      </c>
      <c r="O14" s="36" t="n">
        <v>0</v>
      </c>
      <c r="P14" s="36" t="n">
        <v>0</v>
      </c>
      <c r="Q14" s="36" t="n">
        <v>1</v>
      </c>
      <c r="R14" s="36" t="inlineStr">
        <is>
          <t>HW</t>
        </is>
      </c>
      <c r="S14" t="inlineStr">
        <is>
          <t>EWS</t>
        </is>
      </c>
    </row>
    <row r="15">
      <c r="A15" s="36" t="inlineStr">
        <is>
          <t>adaptation_measures_green_building_codes</t>
        </is>
      </c>
      <c r="B15" s="36" t="inlineStr">
        <is>
          <t>1 0.89 0.84</t>
        </is>
      </c>
      <c r="C15" s="36" t="n">
        <v>35377735.07314063</v>
      </c>
      <c r="D15" s="36" t="n">
        <v>1</v>
      </c>
      <c r="E15" s="36" t="n">
        <v>0</v>
      </c>
      <c r="F15" s="36" t="n">
        <v>0</v>
      </c>
      <c r="G15" s="36" t="inlineStr">
        <is>
          <t>nil</t>
        </is>
      </c>
      <c r="H15" s="36" t="n">
        <v>0.55</v>
      </c>
      <c r="I15" s="36" t="n">
        <v>0</v>
      </c>
      <c r="J15" s="36" t="n">
        <v>1</v>
      </c>
      <c r="K15" s="36" t="n">
        <v>0</v>
      </c>
      <c r="L15" s="36" t="inlineStr">
        <is>
          <t>nil</t>
        </is>
      </c>
      <c r="M15" s="36" t="inlineStr">
        <is>
          <t>nil</t>
        </is>
      </c>
      <c r="N15" s="36" t="n">
        <v>0</v>
      </c>
      <c r="O15" s="36" t="n">
        <v>0</v>
      </c>
      <c r="P15" s="36" t="n">
        <v>0</v>
      </c>
      <c r="Q15" s="36" t="n">
        <v>1</v>
      </c>
      <c r="R15" s="36" t="inlineStr">
        <is>
          <t>HW</t>
        </is>
      </c>
      <c r="S15" t="inlineStr">
        <is>
          <t>GBC</t>
        </is>
      </c>
    </row>
    <row r="16">
      <c r="A16" s="36" t="inlineStr">
        <is>
          <t>adaptation_measures_wetland_restoration_and_rehabilitation</t>
        </is>
      </c>
      <c r="B16" s="36" t="inlineStr">
        <is>
          <t>0 0.42 0.36</t>
        </is>
      </c>
      <c r="C16" s="36" t="n">
        <v>3021000</v>
      </c>
      <c r="D16" s="36" t="n">
        <v>1</v>
      </c>
      <c r="E16" s="36" t="n">
        <v>0</v>
      </c>
      <c r="F16" s="36" t="n">
        <v>0</v>
      </c>
      <c r="G16" s="36" t="inlineStr">
        <is>
          <t>nil</t>
        </is>
      </c>
      <c r="H16" s="36" t="n">
        <v>0.65</v>
      </c>
      <c r="I16" s="36" t="n">
        <v>0</v>
      </c>
      <c r="J16" s="36" t="n">
        <v>1</v>
      </c>
      <c r="K16" s="36" t="n">
        <v>0</v>
      </c>
      <c r="L16" s="36" t="inlineStr">
        <is>
          <t>nil</t>
        </is>
      </c>
      <c r="M16" s="36" t="inlineStr">
        <is>
          <t>nil</t>
        </is>
      </c>
      <c r="N16" s="36" t="n">
        <v>0</v>
      </c>
      <c r="O16" s="36" t="n">
        <v>0</v>
      </c>
      <c r="P16" s="36" t="n">
        <v>0</v>
      </c>
      <c r="Q16" s="36" t="n">
        <v>1</v>
      </c>
      <c r="R16" s="36" t="inlineStr">
        <is>
          <t>D</t>
        </is>
      </c>
      <c r="S16" t="inlineStr"/>
    </row>
    <row r="17">
      <c r="A17" s="36" t="inlineStr">
        <is>
          <t>adaptation_measures_soil_water_and_pest_management</t>
        </is>
      </c>
      <c r="B17" s="36" t="inlineStr">
        <is>
          <t>0.01 0.67 0.51</t>
        </is>
      </c>
      <c r="C17" s="36" t="n">
        <v>6616532.721010331</v>
      </c>
      <c r="D17" s="36" t="n">
        <v>1</v>
      </c>
      <c r="E17" s="36" t="n">
        <v>0</v>
      </c>
      <c r="F17" s="36" t="n">
        <v>0</v>
      </c>
      <c r="G17" s="36" t="inlineStr">
        <is>
          <t>nil</t>
        </is>
      </c>
      <c r="H17" s="36" t="n">
        <v>0.6</v>
      </c>
      <c r="I17" s="36" t="n">
        <v>0</v>
      </c>
      <c r="J17" s="36" t="n">
        <v>1</v>
      </c>
      <c r="K17" s="36" t="n">
        <v>0</v>
      </c>
      <c r="L17" s="36" t="inlineStr">
        <is>
          <t>nil</t>
        </is>
      </c>
      <c r="M17" s="36" t="inlineStr">
        <is>
          <t>nil</t>
        </is>
      </c>
      <c r="N17" s="36" t="n">
        <v>0</v>
      </c>
      <c r="O17" s="36" t="n">
        <v>0</v>
      </c>
      <c r="P17" s="36" t="n">
        <v>0</v>
      </c>
      <c r="Q17" s="36" t="n">
        <v>1</v>
      </c>
      <c r="R17" s="36" t="inlineStr">
        <is>
          <t>D</t>
        </is>
      </c>
      <c r="S17" t="inlineStr"/>
    </row>
    <row r="18">
      <c r="A18" s="36" t="inlineStr">
        <is>
          <t>adaptation_measures_legume_seeds_production_and_propagation</t>
        </is>
      </c>
      <c r="B18" s="36" t="inlineStr">
        <is>
          <t>0.38 0.75 0.6</t>
        </is>
      </c>
      <c r="C18" s="36" t="n">
        <v>3777900</v>
      </c>
      <c r="D18" s="36" t="n">
        <v>1</v>
      </c>
      <c r="E18" s="36" t="n">
        <v>0</v>
      </c>
      <c r="F18" s="36" t="n">
        <v>0</v>
      </c>
      <c r="G18" s="36" t="inlineStr">
        <is>
          <t>nil</t>
        </is>
      </c>
      <c r="H18" s="36" t="n">
        <v>0.7</v>
      </c>
      <c r="I18" s="36" t="n">
        <v>0</v>
      </c>
      <c r="J18" s="36" t="n">
        <v>1</v>
      </c>
      <c r="K18" s="36" t="n">
        <v>0</v>
      </c>
      <c r="L18" s="36" t="inlineStr">
        <is>
          <t>nil</t>
        </is>
      </c>
      <c r="M18" s="36" t="inlineStr">
        <is>
          <t>nil</t>
        </is>
      </c>
      <c r="N18" s="36" t="n">
        <v>0</v>
      </c>
      <c r="O18" s="36" t="n">
        <v>0</v>
      </c>
      <c r="P18" s="36" t="n">
        <v>0</v>
      </c>
      <c r="Q18" s="36" t="n">
        <v>1</v>
      </c>
      <c r="R18" s="36" t="inlineStr">
        <is>
          <t>D</t>
        </is>
      </c>
      <c r="S18" t="inlineStr"/>
    </row>
    <row r="19">
      <c r="A19" s="36" t="inlineStr">
        <is>
          <t>adaptation_measures_management_of_protected_environmental_areas</t>
        </is>
      </c>
      <c r="B19" s="36" t="inlineStr">
        <is>
          <t>0.09 0.44 0.61</t>
        </is>
      </c>
      <c r="C19" s="36" t="n">
        <v>13233065.44202066</v>
      </c>
      <c r="D19" s="36" t="n">
        <v>1</v>
      </c>
      <c r="E19" s="36" t="n">
        <v>0</v>
      </c>
      <c r="F19" s="36" t="n">
        <v>0</v>
      </c>
      <c r="G19" s="36" t="inlineStr">
        <is>
          <t>nil</t>
        </is>
      </c>
      <c r="H19" s="36" t="n">
        <v>0.52</v>
      </c>
      <c r="I19" s="36" t="n">
        <v>0</v>
      </c>
      <c r="J19" s="36" t="n">
        <v>1</v>
      </c>
      <c r="K19" s="36" t="n">
        <v>0</v>
      </c>
      <c r="L19" s="36" t="inlineStr">
        <is>
          <t>nil</t>
        </is>
      </c>
      <c r="M19" s="36" t="inlineStr">
        <is>
          <t>nil</t>
        </is>
      </c>
      <c r="N19" s="36" t="n">
        <v>0</v>
      </c>
      <c r="O19" s="36" t="n">
        <v>0</v>
      </c>
      <c r="P19" s="36" t="n">
        <v>0</v>
      </c>
      <c r="Q19" s="36" t="n">
        <v>1</v>
      </c>
      <c r="R19" s="36" t="inlineStr">
        <is>
          <t>D</t>
        </is>
      </c>
      <c r="S19" t="inlineStr">
        <is>
          <t>MPA</t>
        </is>
      </c>
    </row>
    <row r="20">
      <c r="A20" s="36" t="inlineStr">
        <is>
          <t>adaptation_measures_climate_smart_agriculture_precision_agriculture</t>
        </is>
      </c>
      <c r="B20" s="36" t="inlineStr">
        <is>
          <t>0.7 0.88 0.8</t>
        </is>
      </c>
      <c r="C20" s="36" t="n">
        <v>12870471.77419354</v>
      </c>
      <c r="D20" s="36" t="n">
        <v>1</v>
      </c>
      <c r="E20" s="36" t="n">
        <v>0</v>
      </c>
      <c r="F20" s="36" t="n">
        <v>0</v>
      </c>
      <c r="G20" s="36" t="inlineStr">
        <is>
          <t>nil</t>
        </is>
      </c>
      <c r="H20" s="36" t="n">
        <v>0.55</v>
      </c>
      <c r="I20" s="36" t="n">
        <v>0</v>
      </c>
      <c r="J20" s="36" t="n">
        <v>1</v>
      </c>
      <c r="K20" s="36" t="n">
        <v>0</v>
      </c>
      <c r="L20" s="36" t="inlineStr">
        <is>
          <t>nil</t>
        </is>
      </c>
      <c r="M20" s="36" t="inlineStr">
        <is>
          <t>nil</t>
        </is>
      </c>
      <c r="N20" s="36" t="n">
        <v>0</v>
      </c>
      <c r="O20" s="36" t="n">
        <v>0</v>
      </c>
      <c r="P20" s="36" t="n">
        <v>0</v>
      </c>
      <c r="Q20" s="36" t="n">
        <v>1</v>
      </c>
      <c r="R20" s="36" t="inlineStr">
        <is>
          <t>D</t>
        </is>
      </c>
      <c r="S20" t="inlineStr"/>
    </row>
    <row r="21">
      <c r="A21" s="36" t="inlineStr">
        <is>
          <t>adaptation_measures_improvement_of_water_storage_systems</t>
        </is>
      </c>
      <c r="B21" s="36" t="inlineStr">
        <is>
          <t>0.48 0.51 0.55</t>
        </is>
      </c>
      <c r="C21" s="36" t="n">
        <v>21420000</v>
      </c>
      <c r="D21" s="36" t="n">
        <v>0.75</v>
      </c>
      <c r="E21" s="36" t="n">
        <v>0.75</v>
      </c>
      <c r="F21" s="36" t="n">
        <v>0</v>
      </c>
      <c r="G21" s="36" t="inlineStr">
        <is>
          <t>nil</t>
        </is>
      </c>
      <c r="H21" s="36" t="n">
        <v>0.45</v>
      </c>
      <c r="I21" s="36" t="n">
        <v>0</v>
      </c>
      <c r="J21" s="36" t="n">
        <v>1</v>
      </c>
      <c r="K21" s="36" t="n">
        <v>0</v>
      </c>
      <c r="L21" s="36" t="inlineStr">
        <is>
          <t>nil</t>
        </is>
      </c>
      <c r="M21" s="36" t="inlineStr">
        <is>
          <t>nil</t>
        </is>
      </c>
      <c r="N21" s="36" t="n">
        <v>0</v>
      </c>
      <c r="O21" s="36" t="n">
        <v>0</v>
      </c>
      <c r="P21" s="36" t="n">
        <v>0</v>
      </c>
      <c r="Q21" s="36" t="n">
        <v>1</v>
      </c>
      <c r="R21" s="36" t="inlineStr">
        <is>
          <t>D</t>
        </is>
      </c>
      <c r="S21" t="inlineStr"/>
    </row>
    <row r="22">
      <c r="A22" s="36" t="inlineStr">
        <is>
          <t>adaptation_measures_improvement_of_water_distribution_facilities</t>
        </is>
      </c>
      <c r="B22" s="36" t="inlineStr">
        <is>
          <t>0.81 0.8 0.82</t>
        </is>
      </c>
      <c r="C22" s="36" t="n">
        <v>105000000</v>
      </c>
      <c r="D22" s="36" t="n">
        <v>0.75</v>
      </c>
      <c r="E22" s="36" t="n">
        <v>0.75</v>
      </c>
      <c r="F22" s="36" t="n">
        <v>0</v>
      </c>
      <c r="G22" s="36" t="inlineStr">
        <is>
          <t>nil</t>
        </is>
      </c>
      <c r="H22" s="36" t="n">
        <v>0.47</v>
      </c>
      <c r="I22" s="36" t="n">
        <v>0</v>
      </c>
      <c r="J22" s="36" t="n">
        <v>1</v>
      </c>
      <c r="K22" s="36" t="n">
        <v>0</v>
      </c>
      <c r="L22" s="36" t="inlineStr">
        <is>
          <t>nil</t>
        </is>
      </c>
      <c r="M22" s="36" t="inlineStr">
        <is>
          <t>nil</t>
        </is>
      </c>
      <c r="N22" s="36" t="n">
        <v>0</v>
      </c>
      <c r="O22" s="36" t="n">
        <v>0</v>
      </c>
      <c r="P22" s="36" t="n">
        <v>0</v>
      </c>
      <c r="Q22" s="36" t="n">
        <v>1</v>
      </c>
      <c r="R22" s="36" t="inlineStr">
        <is>
          <t>D</t>
        </is>
      </c>
      <c r="S22" t="inlineStr"/>
    </row>
    <row r="23">
      <c r="A23" s="36" t="inlineStr">
        <is>
          <t>adaptation_measures_trees_planting</t>
        </is>
      </c>
      <c r="B23" s="63" t="inlineStr">
        <is>
          <t>0.01 0.67 0.51</t>
        </is>
      </c>
      <c r="C23" s="61" t="n">
        <v>69156293.22268327</v>
      </c>
      <c r="D23" s="36" t="n">
        <v>1</v>
      </c>
      <c r="E23" s="36" t="n">
        <v>0</v>
      </c>
      <c r="F23" s="36" t="n">
        <v>0</v>
      </c>
      <c r="G23" s="36" t="inlineStr">
        <is>
          <t>nil</t>
        </is>
      </c>
      <c r="H23" s="36" t="n">
        <v>0.35</v>
      </c>
      <c r="I23" s="36" t="n">
        <v>0</v>
      </c>
      <c r="J23" s="36" t="n">
        <v>1</v>
      </c>
      <c r="K23" s="36" t="n">
        <v>0</v>
      </c>
      <c r="L23" s="36" t="inlineStr">
        <is>
          <t>nil</t>
        </is>
      </c>
      <c r="M23" s="36" t="inlineStr">
        <is>
          <t>nil</t>
        </is>
      </c>
      <c r="N23" s="36" t="n">
        <v>0</v>
      </c>
      <c r="O23" s="36" t="n">
        <v>0</v>
      </c>
      <c r="P23" s="36" t="n">
        <v>0</v>
      </c>
      <c r="Q23" s="36" t="n">
        <v>1</v>
      </c>
      <c r="R23" s="36" t="inlineStr">
        <is>
          <t>FL</t>
        </is>
      </c>
      <c r="S23" t="inlineStr">
        <is>
          <t>TP</t>
        </is>
      </c>
    </row>
    <row r="24">
      <c r="A24" s="36" t="inlineStr">
        <is>
          <t>adaptation_measures_retention_reservoirs</t>
        </is>
      </c>
      <c r="B24" s="63" t="inlineStr">
        <is>
          <t>0.16 0.38 0.56</t>
        </is>
      </c>
      <c r="C24" s="61" t="n">
        <v>10653600</v>
      </c>
      <c r="D24" s="36" t="n">
        <v>1</v>
      </c>
      <c r="E24" s="36" t="n">
        <v>0</v>
      </c>
      <c r="F24" s="36" t="n">
        <v>0</v>
      </c>
      <c r="G24" s="36" t="inlineStr">
        <is>
          <t>nil</t>
        </is>
      </c>
      <c r="H24" s="36" t="n">
        <v>0.85</v>
      </c>
      <c r="I24" s="36" t="n">
        <v>0</v>
      </c>
      <c r="J24" s="36" t="n">
        <v>1</v>
      </c>
      <c r="K24" s="36" t="n">
        <v>0</v>
      </c>
      <c r="L24" s="36" t="inlineStr">
        <is>
          <t>nil</t>
        </is>
      </c>
      <c r="M24" s="36" t="inlineStr">
        <is>
          <t>nil</t>
        </is>
      </c>
      <c r="N24" s="36" t="n">
        <v>0</v>
      </c>
      <c r="O24" s="36" t="n">
        <v>0</v>
      </c>
      <c r="P24" s="36" t="n">
        <v>0</v>
      </c>
      <c r="Q24" s="36" t="n">
        <v>1</v>
      </c>
      <c r="R24" s="36" t="inlineStr">
        <is>
          <t>FL</t>
        </is>
      </c>
      <c r="S24" t="inlineStr">
        <is>
          <t>RR</t>
        </is>
      </c>
    </row>
    <row r="25">
      <c r="A25" s="36" t="inlineStr">
        <is>
          <t>adaptation_measures_dredging_of_canals</t>
        </is>
      </c>
      <c r="B25" s="63" t="inlineStr">
        <is>
          <t>0.27 0.32 0.37</t>
        </is>
      </c>
      <c r="C25" s="61" t="n">
        <v>40341171.04656523</v>
      </c>
      <c r="D25" s="36" t="n">
        <v>1</v>
      </c>
      <c r="E25" s="36" t="n">
        <v>0</v>
      </c>
      <c r="F25" s="36" t="n">
        <v>0</v>
      </c>
      <c r="G25" s="36" t="inlineStr">
        <is>
          <t>nil</t>
        </is>
      </c>
      <c r="H25" s="36" t="n">
        <v>0.6</v>
      </c>
      <c r="I25" s="36" t="n">
        <v>0</v>
      </c>
      <c r="J25" s="36" t="n">
        <v>1</v>
      </c>
      <c r="K25" s="36" t="n">
        <v>0</v>
      </c>
      <c r="L25" s="36" t="inlineStr">
        <is>
          <t>nil</t>
        </is>
      </c>
      <c r="M25" s="36" t="inlineStr">
        <is>
          <t>nil</t>
        </is>
      </c>
      <c r="N25" s="36" t="n">
        <v>0</v>
      </c>
      <c r="O25" s="36" t="n">
        <v>0</v>
      </c>
      <c r="P25" s="36" t="n">
        <v>0</v>
      </c>
      <c r="Q25" s="36" t="n">
        <v>1</v>
      </c>
      <c r="R25" s="36" t="inlineStr">
        <is>
          <t>FL</t>
        </is>
      </c>
      <c r="S25" t="inlineStr">
        <is>
          <t>DC</t>
        </is>
      </c>
    </row>
    <row r="26">
      <c r="A26" s="36" t="inlineStr">
        <is>
          <t>adaptation_measures_infiltration_ponds</t>
        </is>
      </c>
      <c r="B26" s="63" t="inlineStr">
        <is>
          <t>0.2 0.51 0.7</t>
        </is>
      </c>
      <c r="C26" s="61" t="n">
        <v>52523956.17801953</v>
      </c>
      <c r="D26" s="36" t="n">
        <v>1</v>
      </c>
      <c r="E26" s="36" t="n">
        <v>0</v>
      </c>
      <c r="F26" s="36" t="n">
        <v>0</v>
      </c>
      <c r="G26" s="36" t="inlineStr">
        <is>
          <t>nil</t>
        </is>
      </c>
      <c r="H26" s="36" t="n">
        <v>0.52</v>
      </c>
      <c r="I26" s="36" t="n">
        <v>0</v>
      </c>
      <c r="J26" s="36" t="n">
        <v>1</v>
      </c>
      <c r="K26" s="36" t="n">
        <v>0</v>
      </c>
      <c r="L26" s="36" t="inlineStr">
        <is>
          <t>nil</t>
        </is>
      </c>
      <c r="M26" s="36" t="inlineStr">
        <is>
          <t>nil</t>
        </is>
      </c>
      <c r="N26" s="36" t="n">
        <v>0</v>
      </c>
      <c r="O26" s="36" t="n">
        <v>0</v>
      </c>
      <c r="P26" s="36" t="n">
        <v>0</v>
      </c>
      <c r="Q26" s="36" t="n">
        <v>1</v>
      </c>
      <c r="R26" s="36" t="inlineStr">
        <is>
          <t>FL</t>
        </is>
      </c>
      <c r="S26" t="inlineStr">
        <is>
          <t>IP</t>
        </is>
      </c>
    </row>
    <row r="27">
      <c r="A27" s="36" t="inlineStr">
        <is>
          <t>adaptation_measures_recharging_wells</t>
        </is>
      </c>
      <c r="B27" s="63" t="inlineStr">
        <is>
          <t>0.43 0.73 0.87</t>
        </is>
      </c>
      <c r="C27" s="61" t="n">
        <v>77706469.3767436</v>
      </c>
      <c r="D27" s="36" t="n">
        <v>1</v>
      </c>
      <c r="E27" s="36" t="n">
        <v>0</v>
      </c>
      <c r="F27" s="36" t="n">
        <v>0</v>
      </c>
      <c r="G27" s="36" t="inlineStr">
        <is>
          <t>nil</t>
        </is>
      </c>
      <c r="H27" s="36" t="n">
        <v>0.35</v>
      </c>
      <c r="I27" s="36" t="n">
        <v>0</v>
      </c>
      <c r="J27" s="36" t="n">
        <v>1</v>
      </c>
      <c r="K27" s="36" t="n">
        <v>0</v>
      </c>
      <c r="L27" s="36" t="inlineStr">
        <is>
          <t>nil</t>
        </is>
      </c>
      <c r="M27" s="36" t="inlineStr">
        <is>
          <t>nil</t>
        </is>
      </c>
      <c r="N27" s="36" t="n">
        <v>0</v>
      </c>
      <c r="O27" s="36" t="n">
        <v>0</v>
      </c>
      <c r="P27" s="36" t="n">
        <v>0</v>
      </c>
      <c r="Q27" s="36" t="n">
        <v>1</v>
      </c>
      <c r="R27" s="36" t="inlineStr">
        <is>
          <t>FL</t>
        </is>
      </c>
      <c r="S27" t="inlineStr">
        <is>
          <t>RW</t>
        </is>
      </c>
    </row>
    <row r="28">
      <c r="A28" s="36" t="inlineStr">
        <is>
          <t>adaptation_measures_small_dams</t>
        </is>
      </c>
      <c r="B28" s="63" t="inlineStr">
        <is>
          <t>0.48 0.51 0.55</t>
        </is>
      </c>
      <c r="C28" s="61" t="n">
        <v>168148056.3777159</v>
      </c>
      <c r="D28" s="36" t="n">
        <v>1</v>
      </c>
      <c r="E28" s="36" t="n">
        <v>0</v>
      </c>
      <c r="F28" s="36" t="n">
        <v>0</v>
      </c>
      <c r="G28" s="36" t="inlineStr">
        <is>
          <t>nil</t>
        </is>
      </c>
      <c r="H28" s="36" t="n">
        <v>1e-05</v>
      </c>
      <c r="I28" s="36" t="n">
        <v>0</v>
      </c>
      <c r="J28" s="36" t="n">
        <v>1</v>
      </c>
      <c r="K28" s="36" t="n">
        <v>0</v>
      </c>
      <c r="L28" s="36" t="inlineStr">
        <is>
          <t>nil</t>
        </is>
      </c>
      <c r="M28" s="36" t="inlineStr">
        <is>
          <t>nil</t>
        </is>
      </c>
      <c r="N28" s="36" t="n">
        <v>0</v>
      </c>
      <c r="O28" s="36" t="n">
        <v>0</v>
      </c>
      <c r="P28" s="36" t="n">
        <v>0</v>
      </c>
      <c r="Q28" s="36" t="n">
        <v>1</v>
      </c>
      <c r="R28" s="36" t="inlineStr">
        <is>
          <t>FL</t>
        </is>
      </c>
      <c r="S28" t="inlineStr">
        <is>
          <t>SD</t>
        </is>
      </c>
    </row>
    <row r="29">
      <c r="A29" s="36" t="inlineStr">
        <is>
          <t>adaptation_measures_early_warning_system</t>
        </is>
      </c>
      <c r="B29" s="63" t="inlineStr">
        <is>
          <t>0.93 0.33 0.34</t>
        </is>
      </c>
      <c r="C29" s="61" t="n">
        <v>459403.0058495805</v>
      </c>
      <c r="D29" s="36" t="n">
        <v>1</v>
      </c>
      <c r="E29" s="36" t="n">
        <v>0</v>
      </c>
      <c r="F29" s="36" t="n">
        <v>0</v>
      </c>
      <c r="G29" s="36" t="inlineStr">
        <is>
          <t>nil</t>
        </is>
      </c>
      <c r="H29" s="36" t="n">
        <v>0.995</v>
      </c>
      <c r="I29" s="36" t="n">
        <v>0</v>
      </c>
      <c r="J29" s="36" t="n">
        <v>1</v>
      </c>
      <c r="K29" s="36" t="n">
        <v>0</v>
      </c>
      <c r="L29" s="36" t="inlineStr">
        <is>
          <t>nil</t>
        </is>
      </c>
      <c r="M29" s="36" t="inlineStr">
        <is>
          <t>nil</t>
        </is>
      </c>
      <c r="N29" s="36" t="n">
        <v>0</v>
      </c>
      <c r="O29" s="36" t="n">
        <v>0</v>
      </c>
      <c r="P29" s="36" t="n">
        <v>0</v>
      </c>
      <c r="Q29" s="36" t="n">
        <v>1</v>
      </c>
      <c r="R29" s="36" t="inlineStr">
        <is>
          <t>FL</t>
        </is>
      </c>
      <c r="S29" t="inlineStr">
        <is>
          <t>EWS</t>
        </is>
      </c>
    </row>
    <row r="30">
      <c r="A30" s="36" t="inlineStr">
        <is>
          <t>adaptation_measures_wetland_restoration_and_rehabilitation</t>
        </is>
      </c>
      <c r="B30" t="inlineStr">
        <is>
          <t>0.02 0.52 0.45</t>
        </is>
      </c>
      <c r="C30" s="61" t="n">
        <v>3021000</v>
      </c>
      <c r="D30" s="36" t="n">
        <v>1</v>
      </c>
      <c r="E30" s="36" t="n">
        <v>0</v>
      </c>
      <c r="F30" s="36" t="n">
        <v>0</v>
      </c>
      <c r="G30" s="36" t="inlineStr">
        <is>
          <t>nil</t>
        </is>
      </c>
      <c r="H30" s="36" t="n">
        <v>0.98</v>
      </c>
      <c r="I30" s="36" t="n">
        <v>0</v>
      </c>
      <c r="J30" s="36" t="n">
        <v>1</v>
      </c>
      <c r="K30" s="36" t="n">
        <v>0</v>
      </c>
      <c r="L30" s="36" t="inlineStr">
        <is>
          <t>nil</t>
        </is>
      </c>
      <c r="M30" s="36" t="inlineStr">
        <is>
          <t>nil</t>
        </is>
      </c>
      <c r="N30" s="36" t="n">
        <v>0</v>
      </c>
      <c r="O30" s="36" t="n">
        <v>0</v>
      </c>
      <c r="P30" s="36" t="n">
        <v>0</v>
      </c>
      <c r="Q30" s="36" t="n">
        <v>1</v>
      </c>
      <c r="R30" s="36" t="inlineStr">
        <is>
          <t>FL</t>
        </is>
      </c>
      <c r="S30" t="inlineStr"/>
    </row>
    <row r="31">
      <c r="A31" s="36" t="inlineStr">
        <is>
          <t>adaptation_measures_improved_drainage_system</t>
        </is>
      </c>
      <c r="B31" t="inlineStr">
        <is>
          <t>0.48 0.51 0.55</t>
        </is>
      </c>
      <c r="C31" s="61" t="n">
        <v>21895243.97692433</v>
      </c>
      <c r="D31" s="36" t="n">
        <v>1</v>
      </c>
      <c r="E31" s="36" t="n">
        <v>0</v>
      </c>
      <c r="F31" s="36" t="n">
        <v>0</v>
      </c>
      <c r="G31" s="36" t="inlineStr">
        <is>
          <t>nil</t>
        </is>
      </c>
      <c r="H31" s="36" t="n">
        <v>0.97</v>
      </c>
      <c r="I31" s="36" t="n">
        <v>0</v>
      </c>
      <c r="J31" s="36" t="n">
        <v>1</v>
      </c>
      <c r="K31" s="36" t="n">
        <v>0</v>
      </c>
      <c r="L31" s="36" t="inlineStr">
        <is>
          <t>nil</t>
        </is>
      </c>
      <c r="M31" s="36" t="inlineStr">
        <is>
          <t>nil</t>
        </is>
      </c>
      <c r="N31" s="36" t="n">
        <v>0</v>
      </c>
      <c r="O31" s="36" t="n">
        <v>0</v>
      </c>
      <c r="P31" s="36" t="n">
        <v>0</v>
      </c>
      <c r="Q31" s="36" t="n">
        <v>1</v>
      </c>
      <c r="R31" s="36" t="inlineStr">
        <is>
          <t>FL</t>
        </is>
      </c>
      <c r="S31" t="inlineStr"/>
    </row>
    <row r="32">
      <c r="A32" s="36" t="inlineStr">
        <is>
          <t>adaptation_measures_training_for_agricultural_topic_for_adaptation</t>
        </is>
      </c>
      <c r="B32" s="63" t="inlineStr">
        <is>
          <t>0.93 0.33 0.34</t>
        </is>
      </c>
      <c r="C32" s="61" t="n">
        <v>1620000</v>
      </c>
      <c r="D32" s="36" t="n">
        <v>1</v>
      </c>
      <c r="E32" s="36" t="n">
        <v>0</v>
      </c>
      <c r="F32" s="36" t="n">
        <v>0</v>
      </c>
      <c r="G32" s="36" t="inlineStr">
        <is>
          <t>nil</t>
        </is>
      </c>
      <c r="H32" s="36" t="n">
        <v>0.989</v>
      </c>
      <c r="I32" s="36" t="n">
        <v>0</v>
      </c>
      <c r="J32" s="36" t="n">
        <v>1</v>
      </c>
      <c r="K32" s="36" t="n">
        <v>0</v>
      </c>
      <c r="L32" s="36" t="inlineStr">
        <is>
          <t>nil</t>
        </is>
      </c>
      <c r="M32" s="36" t="inlineStr">
        <is>
          <t>nil</t>
        </is>
      </c>
      <c r="N32" s="36" t="n">
        <v>0</v>
      </c>
      <c r="O32" s="36" t="n">
        <v>0</v>
      </c>
      <c r="P32" s="36" t="n">
        <v>0</v>
      </c>
      <c r="Q32" s="36" t="n">
        <v>1</v>
      </c>
      <c r="R32" s="36" t="inlineStr">
        <is>
          <t>FL</t>
        </is>
      </c>
      <c r="S32" t="inlineStr"/>
    </row>
    <row r="33">
      <c r="A33" s="36" t="inlineStr">
        <is>
          <t>adaptation_measures_retention_furrows</t>
        </is>
      </c>
      <c r="B33" s="63" t="inlineStr">
        <is>
          <t>0.16 0.38 0.56</t>
        </is>
      </c>
      <c r="C33" s="61" t="n">
        <v>30674921.3138182</v>
      </c>
      <c r="D33" s="36" t="n">
        <v>1</v>
      </c>
      <c r="E33" s="36" t="n">
        <v>0</v>
      </c>
      <c r="F33" s="36" t="n">
        <v>0</v>
      </c>
      <c r="G33" s="36" t="inlineStr">
        <is>
          <t>nil</t>
        </is>
      </c>
      <c r="H33" s="36" t="n">
        <v>0.9</v>
      </c>
      <c r="I33" s="36" t="n">
        <v>0</v>
      </c>
      <c r="J33" s="36" t="n">
        <v>1</v>
      </c>
      <c r="K33" s="36" t="n">
        <v>0</v>
      </c>
      <c r="L33" s="36" t="inlineStr">
        <is>
          <t>nil</t>
        </is>
      </c>
      <c r="M33" s="36" t="inlineStr">
        <is>
          <t>nil</t>
        </is>
      </c>
      <c r="N33" s="36" t="n">
        <v>0</v>
      </c>
      <c r="O33" s="36" t="n">
        <v>0</v>
      </c>
      <c r="P33" s="36" t="n">
        <v>0</v>
      </c>
      <c r="Q33" s="36" t="n">
        <v>1</v>
      </c>
      <c r="R33" s="36" t="inlineStr">
        <is>
          <t>FL</t>
        </is>
      </c>
      <c r="S33" t="inlineStr">
        <is>
          <t>RF</t>
        </is>
      </c>
    </row>
    <row r="34">
      <c r="A34" s="36" t="inlineStr">
        <is>
          <t>adaptation_measures_agricultural_zoning</t>
        </is>
      </c>
      <c r="B34" s="63" t="inlineStr">
        <is>
          <t>0.83 0.45 0.38</t>
        </is>
      </c>
      <c r="C34" s="61" t="n">
        <v>13500000</v>
      </c>
      <c r="D34" s="36" t="n">
        <v>1</v>
      </c>
      <c r="E34" s="36" t="n">
        <v>0</v>
      </c>
      <c r="F34" s="36" t="n">
        <v>0</v>
      </c>
      <c r="G34" s="36" t="inlineStr">
        <is>
          <t>nil</t>
        </is>
      </c>
      <c r="H34" s="36" t="n">
        <v>0.973</v>
      </c>
      <c r="I34" s="36" t="n">
        <v>0</v>
      </c>
      <c r="J34" s="36" t="n">
        <v>1</v>
      </c>
      <c r="K34" s="36" t="n">
        <v>0</v>
      </c>
      <c r="L34" s="36" t="inlineStr">
        <is>
          <t>nil</t>
        </is>
      </c>
      <c r="M34" s="36" t="inlineStr">
        <is>
          <t>nil</t>
        </is>
      </c>
      <c r="N34" s="36" t="n">
        <v>0</v>
      </c>
      <c r="O34" s="36" t="n">
        <v>0</v>
      </c>
      <c r="P34" s="36" t="n">
        <v>0</v>
      </c>
      <c r="Q34" s="36" t="n">
        <v>1</v>
      </c>
      <c r="R34" s="36" t="inlineStr">
        <is>
          <t>FL</t>
        </is>
      </c>
      <c r="S34" t="inlineStr">
        <is>
          <t>AZ</t>
        </is>
      </c>
    </row>
    <row r="35">
      <c r="A35" s="36" t="inlineStr">
        <is>
          <t>adaptation_measures_water_tolerant_crops</t>
        </is>
      </c>
      <c r="B35" s="36" t="inlineStr">
        <is>
          <t>0.98 0.63 0.56</t>
        </is>
      </c>
      <c r="C35" s="61" t="n">
        <v>13500000</v>
      </c>
      <c r="D35" s="36" t="n">
        <v>1</v>
      </c>
      <c r="E35" s="36" t="n">
        <v>0</v>
      </c>
      <c r="F35" s="36" t="n">
        <v>0</v>
      </c>
      <c r="G35" s="36" t="inlineStr">
        <is>
          <t>nil</t>
        </is>
      </c>
      <c r="H35" s="36" t="n">
        <v>0.98</v>
      </c>
      <c r="I35" s="36" t="n">
        <v>0</v>
      </c>
      <c r="J35" s="36" t="n">
        <v>1</v>
      </c>
      <c r="K35" s="36" t="n">
        <v>0</v>
      </c>
      <c r="L35" s="36" t="inlineStr">
        <is>
          <t>nil</t>
        </is>
      </c>
      <c r="M35" s="36" t="inlineStr">
        <is>
          <t>nil</t>
        </is>
      </c>
      <c r="N35" s="36" t="n">
        <v>0</v>
      </c>
      <c r="O35" s="36" t="n">
        <v>0</v>
      </c>
      <c r="P35" s="36" t="n">
        <v>0</v>
      </c>
      <c r="Q35" s="36" t="n">
        <v>1</v>
      </c>
      <c r="R35" s="36" t="inlineStr">
        <is>
          <t>FL</t>
        </is>
      </c>
      <c r="S35" t="inlineStr">
        <is>
          <t>WTC</t>
        </is>
      </c>
    </row>
    <row r="36">
      <c r="A36" s="36" t="inlineStr">
        <is>
          <t>adaptation_measures_flood_index_insurance</t>
        </is>
      </c>
      <c r="B36" s="36" t="inlineStr">
        <is>
          <t>1 0.75 0.6</t>
        </is>
      </c>
      <c r="C36" s="61" t="n">
        <v>92345330.17434502</v>
      </c>
      <c r="D36" s="36" t="n">
        <v>1</v>
      </c>
      <c r="E36" s="36" t="n">
        <v>0</v>
      </c>
      <c r="F36" s="36" t="n">
        <v>0</v>
      </c>
      <c r="G36" s="36" t="inlineStr">
        <is>
          <t>nil</t>
        </is>
      </c>
      <c r="H36" s="36" t="n">
        <v>0.83</v>
      </c>
      <c r="I36" s="36" t="n">
        <v>0</v>
      </c>
      <c r="J36" s="36" t="n">
        <v>1</v>
      </c>
      <c r="K36" s="36" t="n">
        <v>0</v>
      </c>
      <c r="L36" s="36" t="inlineStr">
        <is>
          <t>nil</t>
        </is>
      </c>
      <c r="M36" s="36" t="inlineStr">
        <is>
          <t>nil</t>
        </is>
      </c>
      <c r="N36" s="36" t="n">
        <v>0</v>
      </c>
      <c r="O36" s="36" t="n">
        <v>0</v>
      </c>
      <c r="P36" s="36" t="n">
        <v>0</v>
      </c>
      <c r="Q36" s="36" t="n">
        <v>1</v>
      </c>
      <c r="R36" s="36" t="inlineStr">
        <is>
          <t>FL</t>
        </is>
      </c>
      <c r="S36" t="inlineStr">
        <is>
          <t>FI</t>
        </is>
      </c>
    </row>
  </sheetData>
  <conditionalFormatting sqref="A23:A36">
    <cfRule type="duplicateValues" priority="4" dxfId="0"/>
  </conditionalFormatting>
  <pageMargins left="0.7" right="0.7" top="0.75" bottom="0.75"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103"/>
  <sheetViews>
    <sheetView zoomScale="120" zoomScaleNormal="120" workbookViewId="0">
      <selection activeCell="I27" sqref="I27"/>
    </sheetView>
  </sheetViews>
  <sheetFormatPr baseColWidth="8" defaultColWidth="11.453125" defaultRowHeight="12.5"/>
  <cols>
    <col width="16.54296875" customWidth="1" style="1" min="1" max="2"/>
    <col width="11.453125" customWidth="1" style="1" min="3" max="16384"/>
  </cols>
  <sheetData>
    <row r="1">
      <c r="A1" s="52" t="inlineStr">
        <is>
          <t>year</t>
        </is>
      </c>
      <c r="B1" s="52" t="inlineStr">
        <is>
          <t>discount_rate</t>
        </is>
      </c>
    </row>
    <row r="2">
      <c r="A2" s="1" t="n">
        <v>2000</v>
      </c>
      <c r="B2" s="5" t="n">
        <v>0.02</v>
      </c>
    </row>
    <row r="3">
      <c r="A3" s="1" t="n">
        <v>2001</v>
      </c>
      <c r="B3" s="5" t="n">
        <v>0.02</v>
      </c>
    </row>
    <row r="4">
      <c r="A4" s="1" t="n">
        <v>2002</v>
      </c>
      <c r="B4" s="5" t="n">
        <v>0.02</v>
      </c>
    </row>
    <row r="5">
      <c r="A5" s="1" t="n">
        <v>2003</v>
      </c>
      <c r="B5" s="5" t="n">
        <v>0.02</v>
      </c>
    </row>
    <row r="6">
      <c r="A6" s="1" t="n">
        <v>2004</v>
      </c>
      <c r="B6" s="5" t="n">
        <v>0.02</v>
      </c>
    </row>
    <row r="7">
      <c r="A7" s="1" t="n">
        <v>2005</v>
      </c>
      <c r="B7" s="5" t="n">
        <v>0.02</v>
      </c>
    </row>
    <row r="8">
      <c r="A8" s="1" t="n">
        <v>2006</v>
      </c>
      <c r="B8" s="5" t="n">
        <v>0.02</v>
      </c>
    </row>
    <row r="9">
      <c r="A9" s="1" t="n">
        <v>2007</v>
      </c>
      <c r="B9" s="5" t="n">
        <v>0.02</v>
      </c>
    </row>
    <row r="10">
      <c r="A10" s="1" t="n">
        <v>2008</v>
      </c>
      <c r="B10" s="5" t="n">
        <v>0.02</v>
      </c>
    </row>
    <row r="11">
      <c r="A11" s="1" t="n">
        <v>2009</v>
      </c>
      <c r="B11" s="5" t="n">
        <v>0.02</v>
      </c>
    </row>
    <row r="12">
      <c r="A12" s="1" t="n">
        <v>2010</v>
      </c>
      <c r="B12" s="5" t="n">
        <v>0.02</v>
      </c>
    </row>
    <row r="13">
      <c r="A13" s="1" t="n">
        <v>2011</v>
      </c>
      <c r="B13" s="5" t="n">
        <v>0.02</v>
      </c>
    </row>
    <row r="14">
      <c r="A14" s="1" t="n">
        <v>2012</v>
      </c>
      <c r="B14" s="5" t="n">
        <v>0.02</v>
      </c>
    </row>
    <row r="15">
      <c r="A15" s="1" t="n">
        <v>2013</v>
      </c>
      <c r="B15" s="5" t="n">
        <v>0.02</v>
      </c>
    </row>
    <row r="16">
      <c r="A16" s="1" t="n">
        <v>2014</v>
      </c>
      <c r="B16" s="5" t="n">
        <v>0.02</v>
      </c>
    </row>
    <row r="17">
      <c r="A17" s="1" t="n">
        <v>2015</v>
      </c>
      <c r="B17" s="5" t="n">
        <v>0.02</v>
      </c>
    </row>
    <row r="18">
      <c r="A18" s="1" t="n">
        <v>2016</v>
      </c>
      <c r="B18" s="5" t="n">
        <v>0.02</v>
      </c>
    </row>
    <row r="19">
      <c r="A19" s="1" t="n">
        <v>2017</v>
      </c>
      <c r="B19" s="5" t="n">
        <v>0.02</v>
      </c>
    </row>
    <row r="20">
      <c r="A20" s="1" t="n">
        <v>2018</v>
      </c>
      <c r="B20" s="5" t="n">
        <v>0.02</v>
      </c>
    </row>
    <row r="21">
      <c r="A21" s="1" t="n">
        <v>2019</v>
      </c>
      <c r="B21" s="5" t="n">
        <v>0.02</v>
      </c>
    </row>
    <row r="22">
      <c r="A22" s="1" t="n">
        <v>2020</v>
      </c>
      <c r="B22" s="5" t="n">
        <v>0.02</v>
      </c>
    </row>
    <row r="23">
      <c r="A23" s="1" t="n">
        <v>2021</v>
      </c>
      <c r="B23" s="5" t="n">
        <v>0.02</v>
      </c>
    </row>
    <row r="24">
      <c r="A24" s="1" t="n">
        <v>2022</v>
      </c>
      <c r="B24" s="5" t="n">
        <v>0.02</v>
      </c>
    </row>
    <row r="25">
      <c r="A25" s="1" t="n">
        <v>2023</v>
      </c>
      <c r="B25" s="5" t="n">
        <v>0.02</v>
      </c>
    </row>
    <row r="26">
      <c r="A26" s="1" t="n">
        <v>2024</v>
      </c>
      <c r="B26" s="5" t="n">
        <v>0.02</v>
      </c>
    </row>
    <row r="27">
      <c r="A27" s="1" t="n">
        <v>2025</v>
      </c>
      <c r="B27" s="5" t="n">
        <v>0.02</v>
      </c>
    </row>
    <row r="28">
      <c r="A28" s="1" t="n">
        <v>2026</v>
      </c>
      <c r="B28" s="5" t="n">
        <v>0.02</v>
      </c>
    </row>
    <row r="29">
      <c r="A29" s="1" t="n">
        <v>2027</v>
      </c>
      <c r="B29" s="5" t="n">
        <v>0.02</v>
      </c>
    </row>
    <row r="30">
      <c r="A30" s="1" t="n">
        <v>2028</v>
      </c>
      <c r="B30" s="5" t="n">
        <v>0.02</v>
      </c>
    </row>
    <row r="31">
      <c r="A31" s="1" t="n">
        <v>2029</v>
      </c>
      <c r="B31" s="5" t="n">
        <v>0.02</v>
      </c>
    </row>
    <row r="32">
      <c r="A32" s="1" t="n">
        <v>2030</v>
      </c>
      <c r="B32" s="5" t="n">
        <v>0.02</v>
      </c>
    </row>
    <row r="33">
      <c r="A33" s="1" t="n">
        <v>2031</v>
      </c>
      <c r="B33" s="5" t="n">
        <v>0.02</v>
      </c>
    </row>
    <row r="34">
      <c r="A34" s="1" t="n">
        <v>2032</v>
      </c>
      <c r="B34" s="5" t="n">
        <v>0.02</v>
      </c>
    </row>
    <row r="35">
      <c r="A35" s="1" t="n">
        <v>2033</v>
      </c>
      <c r="B35" s="5" t="n">
        <v>0.02</v>
      </c>
    </row>
    <row r="36">
      <c r="A36" s="1" t="n">
        <v>2034</v>
      </c>
      <c r="B36" s="5" t="n">
        <v>0.02</v>
      </c>
    </row>
    <row r="37">
      <c r="A37" s="1" t="n">
        <v>2035</v>
      </c>
      <c r="B37" s="5" t="n">
        <v>0.02</v>
      </c>
    </row>
    <row r="38">
      <c r="A38" s="1" t="n">
        <v>2036</v>
      </c>
      <c r="B38" s="5" t="n">
        <v>0.02</v>
      </c>
    </row>
    <row r="39">
      <c r="A39" s="1" t="n">
        <v>2037</v>
      </c>
      <c r="B39" s="5" t="n">
        <v>0.02</v>
      </c>
    </row>
    <row r="40">
      <c r="A40" s="1" t="n">
        <v>2038</v>
      </c>
      <c r="B40" s="5" t="n">
        <v>0.02</v>
      </c>
    </row>
    <row r="41">
      <c r="A41" s="1" t="n">
        <v>2039</v>
      </c>
      <c r="B41" s="5" t="n">
        <v>0.02</v>
      </c>
    </row>
    <row r="42">
      <c r="A42" s="1" t="n">
        <v>2040</v>
      </c>
      <c r="B42" s="5" t="n">
        <v>0.02</v>
      </c>
    </row>
    <row r="43">
      <c r="A43" s="1" t="n">
        <v>2041</v>
      </c>
      <c r="B43" s="5" t="n">
        <v>0.02</v>
      </c>
    </row>
    <row r="44">
      <c r="A44" s="1" t="n">
        <v>2042</v>
      </c>
      <c r="B44" s="5" t="n">
        <v>0.02</v>
      </c>
    </row>
    <row r="45">
      <c r="A45" s="1" t="n">
        <v>2043</v>
      </c>
      <c r="B45" s="5" t="n">
        <v>0.02</v>
      </c>
    </row>
    <row r="46">
      <c r="A46" s="1" t="n">
        <v>2044</v>
      </c>
      <c r="B46" s="5" t="n">
        <v>0.02</v>
      </c>
    </row>
    <row r="47">
      <c r="A47" s="1" t="n">
        <v>2045</v>
      </c>
      <c r="B47" s="5" t="n">
        <v>0.02</v>
      </c>
    </row>
    <row r="48">
      <c r="A48" s="1" t="n">
        <v>2046</v>
      </c>
      <c r="B48" s="5" t="n">
        <v>0.02</v>
      </c>
    </row>
    <row r="49">
      <c r="A49" s="1" t="n">
        <v>2047</v>
      </c>
      <c r="B49" s="5" t="n">
        <v>0.02</v>
      </c>
    </row>
    <row r="50">
      <c r="A50" s="1" t="n">
        <v>2048</v>
      </c>
      <c r="B50" s="5" t="n">
        <v>0.02</v>
      </c>
    </row>
    <row r="51">
      <c r="A51" s="1" t="n">
        <v>2049</v>
      </c>
      <c r="B51" s="5" t="n">
        <v>0.02</v>
      </c>
    </row>
    <row r="52">
      <c r="A52" s="1" t="n">
        <v>2050</v>
      </c>
      <c r="B52" s="5" t="n">
        <v>0.02</v>
      </c>
    </row>
    <row r="53">
      <c r="A53" s="1" t="n">
        <v>2051</v>
      </c>
      <c r="B53" s="5" t="n">
        <v>0.02</v>
      </c>
    </row>
    <row r="54">
      <c r="A54" s="1" t="n">
        <v>2052</v>
      </c>
      <c r="B54" s="5" t="n">
        <v>0.02</v>
      </c>
    </row>
    <row r="55">
      <c r="A55" s="1" t="n">
        <v>2053</v>
      </c>
      <c r="B55" s="5" t="n">
        <v>0.02</v>
      </c>
    </row>
    <row r="56">
      <c r="A56" s="1" t="n">
        <v>2054</v>
      </c>
      <c r="B56" s="5" t="n">
        <v>0.02</v>
      </c>
    </row>
    <row r="57">
      <c r="A57" s="1" t="n">
        <v>2055</v>
      </c>
      <c r="B57" s="5" t="n">
        <v>0.02</v>
      </c>
    </row>
    <row r="58">
      <c r="A58" s="1" t="n">
        <v>2056</v>
      </c>
      <c r="B58" s="5" t="n">
        <v>0.02</v>
      </c>
    </row>
    <row r="59">
      <c r="A59" s="1" t="n">
        <v>2057</v>
      </c>
      <c r="B59" s="5" t="n">
        <v>0.02</v>
      </c>
    </row>
    <row r="60">
      <c r="A60" s="1" t="n">
        <v>2058</v>
      </c>
      <c r="B60" s="5" t="n">
        <v>0.02</v>
      </c>
    </row>
    <row r="61">
      <c r="A61" s="1" t="n">
        <v>2059</v>
      </c>
      <c r="B61" s="5" t="n">
        <v>0.02</v>
      </c>
    </row>
    <row r="62">
      <c r="A62" s="1" t="n">
        <v>2060</v>
      </c>
      <c r="B62" s="5" t="n">
        <v>0.02</v>
      </c>
    </row>
    <row r="63">
      <c r="A63" s="1" t="n">
        <v>2061</v>
      </c>
      <c r="B63" s="5" t="n">
        <v>0.02</v>
      </c>
    </row>
    <row r="64">
      <c r="A64" s="1" t="n">
        <v>2062</v>
      </c>
      <c r="B64" s="5" t="n">
        <v>0.02</v>
      </c>
    </row>
    <row r="65">
      <c r="A65" s="1" t="n">
        <v>2063</v>
      </c>
      <c r="B65" s="5" t="n">
        <v>0.02</v>
      </c>
    </row>
    <row r="66">
      <c r="A66" s="1" t="n">
        <v>2064</v>
      </c>
      <c r="B66" s="5" t="n">
        <v>0.02</v>
      </c>
    </row>
    <row r="67">
      <c r="A67" s="1" t="n">
        <v>2065</v>
      </c>
      <c r="B67" s="5" t="n">
        <v>0.02</v>
      </c>
    </row>
    <row r="68">
      <c r="A68" s="1" t="n">
        <v>2066</v>
      </c>
      <c r="B68" s="5" t="n">
        <v>0.02</v>
      </c>
    </row>
    <row r="69">
      <c r="A69" s="1" t="n">
        <v>2067</v>
      </c>
      <c r="B69" s="5" t="n">
        <v>0.02</v>
      </c>
    </row>
    <row r="70">
      <c r="A70" s="1" t="n">
        <v>2068</v>
      </c>
      <c r="B70" s="5" t="n">
        <v>0.02</v>
      </c>
    </row>
    <row r="71">
      <c r="A71" s="1" t="n">
        <v>2069</v>
      </c>
      <c r="B71" s="5" t="n">
        <v>0.02</v>
      </c>
    </row>
    <row r="72">
      <c r="A72" s="1" t="n">
        <v>2070</v>
      </c>
      <c r="B72" s="5" t="n">
        <v>0.02</v>
      </c>
    </row>
    <row r="73">
      <c r="A73" s="1" t="n">
        <v>2071</v>
      </c>
      <c r="B73" s="5" t="n">
        <v>0.02</v>
      </c>
    </row>
    <row r="74">
      <c r="A74" s="1" t="n">
        <v>2072</v>
      </c>
      <c r="B74" s="5" t="n">
        <v>0.02</v>
      </c>
    </row>
    <row r="75">
      <c r="A75" s="1" t="n">
        <v>2073</v>
      </c>
      <c r="B75" s="5" t="n">
        <v>0.02</v>
      </c>
    </row>
    <row r="76">
      <c r="A76" s="1" t="n">
        <v>2074</v>
      </c>
      <c r="B76" s="5" t="n">
        <v>0.02</v>
      </c>
    </row>
    <row r="77">
      <c r="A77" s="1" t="n">
        <v>2075</v>
      </c>
      <c r="B77" s="5" t="n">
        <v>0.02</v>
      </c>
    </row>
    <row r="78">
      <c r="A78" s="1" t="n">
        <v>2076</v>
      </c>
      <c r="B78" s="5" t="n">
        <v>0.02</v>
      </c>
    </row>
    <row r="79">
      <c r="A79" s="1" t="n">
        <v>2077</v>
      </c>
      <c r="B79" s="5" t="n">
        <v>0.02</v>
      </c>
    </row>
    <row r="80">
      <c r="A80" s="1" t="n">
        <v>2078</v>
      </c>
      <c r="B80" s="5" t="n">
        <v>0.02</v>
      </c>
    </row>
    <row r="81">
      <c r="A81" s="1" t="n">
        <v>2079</v>
      </c>
      <c r="B81" s="5" t="n">
        <v>0.02</v>
      </c>
    </row>
    <row r="82">
      <c r="A82" s="1" t="n">
        <v>2080</v>
      </c>
      <c r="B82" s="5" t="n">
        <v>0.02</v>
      </c>
    </row>
    <row r="83">
      <c r="A83" s="1" t="n">
        <v>2081</v>
      </c>
      <c r="B83" s="5" t="n">
        <v>0.02</v>
      </c>
    </row>
    <row r="84">
      <c r="A84" s="1" t="n">
        <v>2082</v>
      </c>
      <c r="B84" s="5" t="n">
        <v>0.02</v>
      </c>
    </row>
    <row r="85">
      <c r="A85" s="1" t="n">
        <v>2083</v>
      </c>
      <c r="B85" s="5" t="n">
        <v>0.02</v>
      </c>
    </row>
    <row r="86">
      <c r="A86" s="1" t="n">
        <v>2084</v>
      </c>
      <c r="B86" s="5" t="n">
        <v>0.02</v>
      </c>
    </row>
    <row r="87">
      <c r="A87" s="1" t="n">
        <v>2085</v>
      </c>
      <c r="B87" s="5" t="n">
        <v>0.02</v>
      </c>
    </row>
    <row r="88">
      <c r="A88" s="1" t="n">
        <v>2086</v>
      </c>
      <c r="B88" s="5" t="n">
        <v>0.02</v>
      </c>
    </row>
    <row r="89">
      <c r="A89" s="1" t="n">
        <v>2087</v>
      </c>
      <c r="B89" s="5" t="n">
        <v>0.02</v>
      </c>
    </row>
    <row r="90">
      <c r="A90" s="1" t="n">
        <v>2088</v>
      </c>
      <c r="B90" s="5" t="n">
        <v>0.02</v>
      </c>
    </row>
    <row r="91">
      <c r="A91" s="1" t="n">
        <v>2089</v>
      </c>
      <c r="B91" s="5" t="n">
        <v>0.02</v>
      </c>
    </row>
    <row r="92">
      <c r="A92" s="1" t="n">
        <v>2090</v>
      </c>
      <c r="B92" s="5" t="n">
        <v>0.02</v>
      </c>
    </row>
    <row r="93">
      <c r="A93" s="1" t="n">
        <v>2091</v>
      </c>
      <c r="B93" s="5" t="n">
        <v>0.02</v>
      </c>
    </row>
    <row r="94">
      <c r="A94" s="1" t="n">
        <v>2092</v>
      </c>
      <c r="B94" s="5" t="n">
        <v>0.02</v>
      </c>
    </row>
    <row r="95">
      <c r="A95" s="1" t="n">
        <v>2093</v>
      </c>
      <c r="B95" s="5" t="n">
        <v>0.02</v>
      </c>
    </row>
    <row r="96">
      <c r="A96" s="1" t="n">
        <v>2094</v>
      </c>
      <c r="B96" s="5" t="n">
        <v>0.02</v>
      </c>
    </row>
    <row r="97">
      <c r="A97" s="1" t="n">
        <v>2095</v>
      </c>
      <c r="B97" s="5" t="n">
        <v>0.02</v>
      </c>
    </row>
    <row r="98">
      <c r="A98" s="1" t="n">
        <v>2096</v>
      </c>
      <c r="B98" s="5" t="n">
        <v>0.02</v>
      </c>
    </row>
    <row r="99">
      <c r="A99" s="1" t="n">
        <v>2097</v>
      </c>
      <c r="B99" s="5" t="n">
        <v>0.02</v>
      </c>
    </row>
    <row r="100">
      <c r="A100" s="1" t="n">
        <v>2098</v>
      </c>
      <c r="B100" s="5" t="n">
        <v>0.02</v>
      </c>
    </row>
    <row r="101">
      <c r="A101" s="1" t="n">
        <v>2099</v>
      </c>
      <c r="B101" s="5" t="n">
        <v>0.02</v>
      </c>
    </row>
    <row r="102">
      <c r="A102" s="1" t="n">
        <v>2100</v>
      </c>
      <c r="B102" s="5" t="n">
        <v>0.02</v>
      </c>
    </row>
    <row r="103">
      <c r="A103" s="1" t="n">
        <v>2101</v>
      </c>
      <c r="B103" s="5" t="n">
        <v>0.02</v>
      </c>
    </row>
  </sheetData>
  <pageMargins left="0.7" right="0.7" top="0.75" bottom="0.75"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ColWidth="11.453125" defaultRowHeight="12.5"/>
  <cols>
    <col width="32.81640625" customWidth="1" style="1" min="1" max="1"/>
    <col width="16.7265625" customWidth="1" style="1" min="2" max="2"/>
    <col width="14.1796875" customWidth="1" style="1" min="3" max="3"/>
    <col width="9.7265625" customWidth="1" style="1" min="4" max="6"/>
    <col width="11.453125" customWidth="1" style="1" min="7" max="16384"/>
  </cols>
  <sheetData>
    <row r="1">
      <c r="A1" s="36" t="inlineStr">
        <is>
          <t>This sheet contains the detailed calculations for different measures (NOT READ BY CLIMADA)</t>
        </is>
      </c>
    </row>
    <row r="2">
      <c r="A2" s="1" t="inlineStr">
        <is>
          <t>Note that all costs in sheet 'measures' need to be net present values 2012-2030 (reference 2012). Not all measures need to be based on the same discount rate etc.</t>
        </is>
      </c>
    </row>
    <row r="4" ht="13" customHeight="1">
      <c r="A4" s="14" t="inlineStr">
        <is>
          <t>beach nourishment (see slides)</t>
        </is>
      </c>
      <c r="B4" s="15" t="n"/>
      <c r="C4" s="15" t="n"/>
      <c r="D4" s="16" t="n"/>
      <c r="E4" s="16" t="n"/>
      <c r="F4" s="16" t="n"/>
      <c r="G4" s="16" t="n"/>
      <c r="H4" s="16" t="n"/>
      <c r="I4" s="16" t="n"/>
      <c r="J4" s="16" t="n"/>
      <c r="K4" s="16" t="n"/>
    </row>
    <row r="6">
      <c r="A6" s="2" t="inlineStr">
        <is>
          <t>width</t>
        </is>
      </c>
      <c r="B6" s="64" t="n">
        <v>22.8599999652528</v>
      </c>
      <c r="C6" s="18" t="inlineStr">
        <is>
          <t>m</t>
        </is>
      </c>
      <c r="E6" s="8" t="n"/>
    </row>
    <row r="7">
      <c r="A7" s="2" t="inlineStr">
        <is>
          <t>beach length</t>
        </is>
      </c>
      <c r="B7" s="64" t="n">
        <v>160934.4</v>
      </c>
      <c r="C7" s="18" t="inlineStr">
        <is>
          <t>m</t>
        </is>
      </c>
      <c r="E7" s="8" t="n"/>
    </row>
    <row r="8">
      <c r="A8" s="2" t="inlineStr">
        <is>
          <t>estimated depth</t>
        </is>
      </c>
      <c r="B8" s="64" t="n">
        <v>0.50000000076</v>
      </c>
      <c r="C8" s="18" t="inlineStr">
        <is>
          <t>m</t>
        </is>
      </c>
      <c r="E8" s="8" t="n"/>
    </row>
    <row r="9" ht="14.5" customHeight="1">
      <c r="A9" s="2" t="inlineStr">
        <is>
          <t>volume</t>
        </is>
      </c>
      <c r="B9" s="18">
        <f>B6*B7*B8</f>
        <v/>
      </c>
      <c r="C9" s="18" t="inlineStr">
        <is>
          <t>m3</t>
        </is>
      </c>
      <c r="E9" s="8" t="n"/>
    </row>
    <row r="10">
      <c r="A10" s="2" t="n"/>
      <c r="B10" s="18" t="n"/>
      <c r="C10" s="18" t="n"/>
    </row>
    <row r="11" ht="14.5" customHeight="1">
      <c r="A11" s="2" t="inlineStr">
        <is>
          <t>costs per m3</t>
        </is>
      </c>
      <c r="B11" s="64" t="n">
        <v>13.73348150280112</v>
      </c>
      <c r="C11" s="18" t="inlineStr">
        <is>
          <t>$/m3</t>
        </is>
      </c>
    </row>
    <row r="12">
      <c r="A12" s="2" t="n"/>
      <c r="B12" s="18" t="n"/>
      <c r="C12" s="18" t="n"/>
    </row>
    <row r="13">
      <c r="A13" s="2" t="inlineStr">
        <is>
          <t>initial costs</t>
        </is>
      </c>
      <c r="B13" s="19">
        <f>B9*B11</f>
        <v/>
      </c>
      <c r="C13" s="18" t="inlineStr">
        <is>
          <t>$</t>
        </is>
      </c>
    </row>
    <row r="14">
      <c r="A14" s="2" t="inlineStr">
        <is>
          <t>replacement costs (every 6th year)</t>
        </is>
      </c>
      <c r="B14" s="19">
        <f>B13*0.25</f>
        <v/>
      </c>
      <c r="C14" s="18" t="inlineStr">
        <is>
          <t>$</t>
        </is>
      </c>
    </row>
    <row r="15" ht="13" customHeight="1">
      <c r="A15" s="7" t="inlineStr">
        <is>
          <t>NPV</t>
        </is>
      </c>
      <c r="B15" s="20">
        <f>_discounting_sheet!D4</f>
        <v/>
      </c>
      <c r="C15" s="18" t="inlineStr">
        <is>
          <t>$</t>
        </is>
      </c>
    </row>
    <row r="18" ht="13" customHeight="1">
      <c r="A18" s="13" t="inlineStr">
        <is>
          <t>elevate existing buildings</t>
        </is>
      </c>
      <c r="B18" s="16" t="n"/>
      <c r="C18" s="16" t="n"/>
      <c r="D18" s="16" t="n"/>
      <c r="E18" s="16" t="n"/>
      <c r="F18" s="16" t="n"/>
      <c r="G18" s="16" t="n"/>
      <c r="H18" s="16" t="n"/>
      <c r="I18" s="16" t="n"/>
      <c r="J18" s="16" t="n"/>
      <c r="K18" s="16" t="n"/>
    </row>
    <row r="19">
      <c r="A19" s="1" t="inlineStr">
        <is>
          <t>we need to say elevate a certain percentage of existing buildings, each elevation costing a certain percentage of the reconstruction cost</t>
        </is>
      </c>
    </row>
    <row r="20">
      <c r="A20" s="1" t="inlineStr">
        <is>
          <t>percentage elevated</t>
        </is>
      </c>
      <c r="B20" s="5" t="n">
        <v>0.5</v>
      </c>
    </row>
    <row r="21">
      <c r="A21" s="1" t="inlineStr">
        <is>
          <t>elevation cost per building</t>
        </is>
      </c>
      <c r="B21" s="5" t="n">
        <v>0.2</v>
      </c>
      <c r="C21" s="1" t="inlineStr">
        <is>
          <t>of building value</t>
        </is>
      </c>
    </row>
    <row r="22" ht="13" customHeight="1">
      <c r="A22" s="1" t="inlineStr">
        <is>
          <t>elevation cost</t>
        </is>
      </c>
      <c r="B22" s="9">
        <f>B20*SUM(assets!#REF!)*_measures_details!B21</f>
        <v/>
      </c>
      <c r="C22" s="2" t="inlineStr">
        <is>
          <t>$</t>
        </is>
      </c>
    </row>
    <row r="24" ht="13" customHeight="1">
      <c r="A24" s="13" t="inlineStr">
        <is>
          <t>vegetation management</t>
        </is>
      </c>
      <c r="B24" s="16" t="n"/>
      <c r="C24" s="16" t="n"/>
      <c r="D24" s="16" t="n"/>
      <c r="E24" s="16" t="n"/>
      <c r="F24" s="16" t="n"/>
      <c r="G24" s="16" t="n"/>
      <c r="H24" s="16" t="n"/>
      <c r="I24" s="16" t="n"/>
      <c r="J24" s="16" t="n"/>
      <c r="K24" s="16" t="n"/>
    </row>
    <row r="25">
      <c r="A25" s="1" t="inlineStr">
        <is>
          <t>annual cost</t>
        </is>
      </c>
      <c r="B25" s="3" t="n">
        <v>4000000</v>
      </c>
      <c r="C25" s="2" t="inlineStr">
        <is>
          <t>$</t>
        </is>
      </c>
    </row>
    <row r="26" ht="13" customHeight="1">
      <c r="A26" s="6" t="inlineStr">
        <is>
          <t>NPV</t>
        </is>
      </c>
      <c r="B26" s="9">
        <f>_discounting_sheet!F4</f>
        <v/>
      </c>
      <c r="C26" s="2" t="inlineStr">
        <is>
          <t>$</t>
        </is>
      </c>
    </row>
    <row r="28" ht="13" customHeight="1">
      <c r="A28" s="13" t="inlineStr">
        <is>
          <t>sandbags</t>
        </is>
      </c>
      <c r="B28" s="16" t="n"/>
      <c r="C28" s="16" t="n"/>
      <c r="D28" s="16" t="n"/>
      <c r="E28" s="16" t="n"/>
      <c r="F28" s="16" t="n"/>
      <c r="G28" s="16" t="n"/>
      <c r="H28" s="16" t="n"/>
      <c r="I28" s="16" t="n"/>
      <c r="J28" s="16" t="n"/>
      <c r="K28" s="16" t="n"/>
    </row>
    <row r="29">
      <c r="A29" s="1" t="inlineStr">
        <is>
          <t>sandbags need to be bought (incuding filling station) once, hence high initial cost, then maintenance and replacement plus an average labor cost for use</t>
        </is>
      </c>
    </row>
    <row r="30">
      <c r="A30" s="1" t="inlineStr">
        <is>
          <t>initial acquisition</t>
        </is>
      </c>
      <c r="B30" s="3" t="n">
        <v>20000000</v>
      </c>
      <c r="C30" s="2" t="inlineStr">
        <is>
          <t>$</t>
        </is>
      </c>
    </row>
    <row r="31">
      <c r="A31" s="1" t="inlineStr">
        <is>
          <t>maintenance</t>
        </is>
      </c>
      <c r="B31" s="3" t="n">
        <v>500000</v>
      </c>
      <c r="C31" s="2" t="inlineStr">
        <is>
          <t>$</t>
        </is>
      </c>
    </row>
    <row r="32">
      <c r="A32" s="1" t="inlineStr">
        <is>
          <t>replacement</t>
        </is>
      </c>
      <c r="B32" s="3" t="n">
        <v>500000</v>
      </c>
      <c r="C32" s="2" t="inlineStr">
        <is>
          <t>$</t>
        </is>
      </c>
    </row>
    <row r="33">
      <c r="A33" s="1" t="inlineStr">
        <is>
          <t>annual average manpower for usage</t>
        </is>
      </c>
      <c r="B33" s="3" t="n">
        <v>400000</v>
      </c>
      <c r="C33" s="2" t="inlineStr">
        <is>
          <t>$</t>
        </is>
      </c>
    </row>
    <row r="34" ht="13" customHeight="1">
      <c r="A34" s="6" t="inlineStr">
        <is>
          <t>NPV</t>
        </is>
      </c>
      <c r="B34" s="9">
        <f>_discounting_sheet!H4</f>
        <v/>
      </c>
      <c r="C34" s="2" t="inlineStr">
        <is>
          <t>$</t>
        </is>
      </c>
    </row>
    <row r="36" ht="13" customHeight="1">
      <c r="A36" s="13" t="inlineStr">
        <is>
          <t>seawall</t>
        </is>
      </c>
      <c r="B36" s="16" t="n"/>
      <c r="C36" s="16" t="n"/>
      <c r="D36" s="16" t="n"/>
      <c r="E36" s="16" t="n"/>
      <c r="F36" s="16" t="n"/>
      <c r="G36" s="16" t="n"/>
      <c r="H36" s="16" t="n"/>
      <c r="I36" s="16" t="n"/>
      <c r="J36" s="16" t="n"/>
      <c r="K36" s="16" t="n"/>
    </row>
    <row r="37">
      <c r="A37" s="1" t="inlineStr">
        <is>
          <t>the seawall costs pr meter horizontal extent (construction once, maintanance ongoing) and per meter height</t>
        </is>
      </c>
    </row>
    <row r="38">
      <c r="A38" s="1" t="inlineStr">
        <is>
          <t xml:space="preserve">height </t>
        </is>
      </c>
      <c r="B38" s="1" t="n">
        <v>3</v>
      </c>
      <c r="C38" s="1" t="inlineStr">
        <is>
          <t>m</t>
        </is>
      </c>
    </row>
    <row r="39">
      <c r="A39" s="1" t="inlineStr">
        <is>
          <t xml:space="preserve">extent </t>
        </is>
      </c>
      <c r="B39" s="3" t="n">
        <v>30000</v>
      </c>
      <c r="C39" s="1" t="inlineStr">
        <is>
          <t>m</t>
        </is>
      </c>
    </row>
    <row r="40">
      <c r="A40" s="1" t="inlineStr">
        <is>
          <t>building costs total</t>
        </is>
      </c>
      <c r="B40" s="4">
        <f>B38^2*B39*2000</f>
        <v/>
      </c>
      <c r="C40" s="2" t="inlineStr">
        <is>
          <t>$</t>
        </is>
      </c>
    </row>
    <row r="41">
      <c r="A41" s="1" t="inlineStr">
        <is>
          <t xml:space="preserve">maintenance cost per </t>
        </is>
      </c>
      <c r="B41" s="1" t="n">
        <v>400</v>
      </c>
      <c r="C41" s="1" t="inlineStr">
        <is>
          <t>m</t>
        </is>
      </c>
    </row>
    <row r="42">
      <c r="A42" s="1" t="inlineStr">
        <is>
          <t>maintenance costs</t>
        </is>
      </c>
      <c r="B42" s="4">
        <f>B39*B41</f>
        <v/>
      </c>
      <c r="C42" s="2" t="inlineStr">
        <is>
          <t>$</t>
        </is>
      </c>
    </row>
    <row r="43" ht="13" customHeight="1">
      <c r="A43" s="6" t="inlineStr">
        <is>
          <t>NPV</t>
        </is>
      </c>
      <c r="B43" s="9">
        <f>_discounting_sheet!J4+B40</f>
        <v/>
      </c>
      <c r="C43" s="2" t="inlineStr">
        <is>
          <t>$</t>
        </is>
      </c>
    </row>
  </sheetData>
  <pageMargins left="0.7" right="0.7" top="0.75" bottom="0.75" header="0.5" footer="0.5"/>
  <pageSetup orientation="portrait" paperSize="9"/>
</worksheet>
</file>

<file path=xl/worksheets/sheet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ColWidth="11.453125" defaultRowHeight="12.5"/>
  <cols>
    <col width="11.453125" customWidth="1" style="1" min="1" max="1"/>
    <col width="5.26953125" customWidth="1" style="1" min="2" max="2"/>
    <col width="22.453125" customWidth="1" style="1" min="3" max="3"/>
    <col width="27.453125" customWidth="1" style="1" min="4" max="4"/>
    <col width="20.81640625" customWidth="1" style="1" min="5" max="5"/>
    <col width="11.26953125" customWidth="1" style="1" min="6" max="6"/>
    <col width="11.453125" customWidth="1" style="1" min="7" max="7"/>
    <col width="11.26953125" customWidth="1" style="1" min="8" max="8"/>
    <col width="10.7265625" customWidth="1" style="1" min="9" max="9"/>
    <col width="12.26953125" customWidth="1" style="1" min="10" max="10"/>
    <col width="11.453125" customWidth="1" style="1" min="11" max="16384"/>
  </cols>
  <sheetData>
    <row r="1">
      <c r="A1" s="36" t="inlineStr">
        <is>
          <t>worksheet to discount measures (NOT READ BY CLIMADA)</t>
        </is>
      </c>
    </row>
    <row r="3">
      <c r="A3" s="1" t="inlineStr">
        <is>
          <t>year</t>
        </is>
      </c>
      <c r="B3" s="1" t="inlineStr">
        <is>
          <t>yield</t>
        </is>
      </c>
      <c r="C3" s="2" t="inlineStr">
        <is>
          <t>beach nourishment</t>
        </is>
      </c>
      <c r="D3" s="2" t="inlineStr">
        <is>
          <t>discounted beach nourishment</t>
        </is>
      </c>
      <c r="E3" s="1" t="inlineStr">
        <is>
          <t>vegetation management</t>
        </is>
      </c>
      <c r="F3" s="10" t="inlineStr">
        <is>
          <t>discounted</t>
        </is>
      </c>
      <c r="G3" s="1" t="inlineStr">
        <is>
          <t>sandbagging</t>
        </is>
      </c>
      <c r="H3" s="10" t="inlineStr">
        <is>
          <t>discounted</t>
        </is>
      </c>
      <c r="I3" s="1" t="inlineStr">
        <is>
          <t>seawall</t>
        </is>
      </c>
      <c r="J3" s="10" t="inlineStr">
        <is>
          <t>discounted</t>
        </is>
      </c>
    </row>
    <row r="4" ht="13" customHeight="1">
      <c r="A4" s="1" t="n">
        <v>2012</v>
      </c>
      <c r="B4" s="65">
        <f>discount!B14</f>
        <v/>
      </c>
      <c r="C4" s="21" t="n">
        <v>25262467.23</v>
      </c>
      <c r="D4" s="22">
        <f>C4+D5/(1+$B5)</f>
        <v/>
      </c>
      <c r="E4" s="24">
        <f>_measures_details!$B$25</f>
        <v/>
      </c>
      <c r="F4" s="25">
        <f>E4+F5/(1+$B5)</f>
        <v/>
      </c>
      <c r="G4" s="27">
        <f>_measures_details!$B$31+_measures_details!$B$32+_measures_details!$B$33</f>
        <v/>
      </c>
      <c r="H4" s="28">
        <f>G4+H5/(1+$B5)</f>
        <v/>
      </c>
      <c r="I4" s="24">
        <f>_measures_details!$B$42</f>
        <v/>
      </c>
      <c r="J4" s="25">
        <f>I4+J5/(1+$B5)</f>
        <v/>
      </c>
    </row>
    <row r="5" ht="13" customHeight="1">
      <c r="A5" s="1" t="n">
        <v>2013</v>
      </c>
      <c r="B5" s="65">
        <f>discount!B15</f>
        <v/>
      </c>
      <c r="C5" s="21" t="n">
        <v>0</v>
      </c>
      <c r="D5" s="23">
        <f>C5+D6/(1+$B6)</f>
        <v/>
      </c>
      <c r="E5" s="24">
        <f>_measures_details!$B$25</f>
        <v/>
      </c>
      <c r="F5" s="26">
        <f>E5+F6/(1+$B6)</f>
        <v/>
      </c>
      <c r="G5" s="27">
        <f>_measures_details!$B$31+_measures_details!$B$32+_measures_details!$B$33</f>
        <v/>
      </c>
      <c r="H5" s="29">
        <f>G5+H6/(1+$B6)</f>
        <v/>
      </c>
      <c r="I5" s="24">
        <f>_measures_details!$B$42</f>
        <v/>
      </c>
      <c r="J5" s="26">
        <f>I5+J6/(1+$B6)</f>
        <v/>
      </c>
    </row>
    <row r="6" ht="13" customHeight="1">
      <c r="A6" s="1" t="n">
        <v>2014</v>
      </c>
      <c r="B6" s="65">
        <f>discount!B16</f>
        <v/>
      </c>
      <c r="C6" s="21" t="n">
        <v>0</v>
      </c>
      <c r="D6" s="23">
        <f>C6+D7/(1+$B7)</f>
        <v/>
      </c>
      <c r="E6" s="24">
        <f>_measures_details!$B$25</f>
        <v/>
      </c>
      <c r="F6" s="26">
        <f>E6+F7/(1+$B7)</f>
        <v/>
      </c>
      <c r="G6" s="27">
        <f>_measures_details!$B$31+_measures_details!$B$32+_measures_details!$B$33</f>
        <v/>
      </c>
      <c r="H6" s="29">
        <f>G6+H7/(1+$B7)</f>
        <v/>
      </c>
      <c r="I6" s="24">
        <f>_measures_details!$B$42</f>
        <v/>
      </c>
      <c r="J6" s="26">
        <f>I6+J7/(1+$B7)</f>
        <v/>
      </c>
    </row>
    <row r="7" ht="13" customHeight="1">
      <c r="A7" s="1" t="n">
        <v>2015</v>
      </c>
      <c r="B7" s="65">
        <f>discount!B17</f>
        <v/>
      </c>
      <c r="C7" s="21" t="n">
        <v>0</v>
      </c>
      <c r="D7" s="23">
        <f>C7+D8/(1+$B8)</f>
        <v/>
      </c>
      <c r="E7" s="24">
        <f>_measures_details!$B$25</f>
        <v/>
      </c>
      <c r="F7" s="26">
        <f>E7+F8/(1+$B8)</f>
        <v/>
      </c>
      <c r="G7" s="27">
        <f>_measures_details!$B$31+_measures_details!$B$32+_measures_details!$B$33</f>
        <v/>
      </c>
      <c r="H7" s="29">
        <f>G7+H8/(1+$B8)</f>
        <v/>
      </c>
      <c r="I7" s="24">
        <f>_measures_details!$B$42</f>
        <v/>
      </c>
      <c r="J7" s="26">
        <f>I7+J8/(1+$B8)</f>
        <v/>
      </c>
    </row>
    <row r="8" ht="13" customHeight="1">
      <c r="A8" s="1" t="n">
        <v>2016</v>
      </c>
      <c r="B8" s="65">
        <f>discount!B18</f>
        <v/>
      </c>
      <c r="C8" s="21" t="n">
        <v>0</v>
      </c>
      <c r="D8" s="23">
        <f>C8+D9/(1+$B9)</f>
        <v/>
      </c>
      <c r="E8" s="24">
        <f>_measures_details!$B$25</f>
        <v/>
      </c>
      <c r="F8" s="26">
        <f>E8+F9/(1+$B9)</f>
        <v/>
      </c>
      <c r="G8" s="27">
        <f>_measures_details!$B$31+_measures_details!$B$32+_measures_details!$B$33</f>
        <v/>
      </c>
      <c r="H8" s="29">
        <f>G8+H9/(1+$B9)</f>
        <v/>
      </c>
      <c r="I8" s="24">
        <f>_measures_details!$B$42</f>
        <v/>
      </c>
      <c r="J8" s="26">
        <f>I8+J9/(1+$B9)</f>
        <v/>
      </c>
    </row>
    <row r="9" ht="13" customHeight="1">
      <c r="A9" s="1" t="n">
        <v>2017</v>
      </c>
      <c r="B9" s="65">
        <f>discount!B19</f>
        <v/>
      </c>
      <c r="C9" s="21" t="n">
        <v>6315616.8075</v>
      </c>
      <c r="D9" s="23">
        <f>C9+D10/(1+$B10)</f>
        <v/>
      </c>
      <c r="E9" s="24">
        <f>_measures_details!$B$25</f>
        <v/>
      </c>
      <c r="F9" s="26">
        <f>E9+F10/(1+$B10)</f>
        <v/>
      </c>
      <c r="G9" s="27">
        <f>_measures_details!$B$31+_measures_details!$B$32+_measures_details!$B$33</f>
        <v/>
      </c>
      <c r="H9" s="29">
        <f>G9+H10/(1+$B10)</f>
        <v/>
      </c>
      <c r="I9" s="24">
        <f>_measures_details!$B$42</f>
        <v/>
      </c>
      <c r="J9" s="26">
        <f>I9+J10/(1+$B10)</f>
        <v/>
      </c>
    </row>
    <row r="10" ht="13" customHeight="1">
      <c r="A10" s="1" t="n">
        <v>2018</v>
      </c>
      <c r="B10" s="65">
        <f>discount!B20</f>
        <v/>
      </c>
      <c r="C10" s="21" t="n">
        <v>0</v>
      </c>
      <c r="D10" s="23">
        <f>C10+D11/(1+$B11)</f>
        <v/>
      </c>
      <c r="E10" s="24">
        <f>_measures_details!$B$25</f>
        <v/>
      </c>
      <c r="F10" s="26">
        <f>E10+F11/(1+$B11)</f>
        <v/>
      </c>
      <c r="G10" s="27">
        <f>_measures_details!$B$31+_measures_details!$B$32+_measures_details!$B$33</f>
        <v/>
      </c>
      <c r="H10" s="29">
        <f>G10+H11/(1+$B11)</f>
        <v/>
      </c>
      <c r="I10" s="24">
        <f>_measures_details!$B$42</f>
        <v/>
      </c>
      <c r="J10" s="26">
        <f>I10+J11/(1+$B11)</f>
        <v/>
      </c>
    </row>
    <row r="11" ht="13" customHeight="1">
      <c r="A11" s="1" t="n">
        <v>2019</v>
      </c>
      <c r="B11" s="65">
        <f>discount!B21</f>
        <v/>
      </c>
      <c r="C11" s="21" t="n">
        <v>0</v>
      </c>
      <c r="D11" s="23">
        <f>C11+D12/(1+$B12)</f>
        <v/>
      </c>
      <c r="E11" s="24">
        <f>_measures_details!$B$25</f>
        <v/>
      </c>
      <c r="F11" s="26">
        <f>E11+F12/(1+$B12)</f>
        <v/>
      </c>
      <c r="G11" s="27">
        <f>_measures_details!$B$31+_measures_details!$B$32+_measures_details!$B$33</f>
        <v/>
      </c>
      <c r="H11" s="29">
        <f>G11+H12/(1+$B12)</f>
        <v/>
      </c>
      <c r="I11" s="24">
        <f>_measures_details!$B$42</f>
        <v/>
      </c>
      <c r="J11" s="26">
        <f>I11+J12/(1+$B12)</f>
        <v/>
      </c>
    </row>
    <row r="12" ht="13" customHeight="1">
      <c r="A12" s="1" t="n">
        <v>2020</v>
      </c>
      <c r="B12" s="65">
        <f>discount!B22</f>
        <v/>
      </c>
      <c r="C12" s="21" t="n">
        <v>0</v>
      </c>
      <c r="D12" s="23">
        <f>C12+D13/(1+$B13)</f>
        <v/>
      </c>
      <c r="E12" s="24">
        <f>_measures_details!$B$25</f>
        <v/>
      </c>
      <c r="F12" s="26">
        <f>E12+F13/(1+$B13)</f>
        <v/>
      </c>
      <c r="G12" s="27">
        <f>_measures_details!$B$31+_measures_details!$B$32+_measures_details!$B$33</f>
        <v/>
      </c>
      <c r="H12" s="29">
        <f>G12+H13/(1+$B13)</f>
        <v/>
      </c>
      <c r="I12" s="24">
        <f>_measures_details!$B$42</f>
        <v/>
      </c>
      <c r="J12" s="26">
        <f>I12+J13/(1+$B13)</f>
        <v/>
      </c>
    </row>
    <row r="13" ht="13" customHeight="1">
      <c r="A13" s="1" t="n">
        <v>2021</v>
      </c>
      <c r="B13" s="65">
        <f>discount!B23</f>
        <v/>
      </c>
      <c r="C13" s="21" t="n">
        <v>0</v>
      </c>
      <c r="D13" s="23">
        <f>C13+D14/(1+$B14)</f>
        <v/>
      </c>
      <c r="E13" s="24">
        <f>_measures_details!$B$25</f>
        <v/>
      </c>
      <c r="F13" s="26">
        <f>E13+F14/(1+$B14)</f>
        <v/>
      </c>
      <c r="G13" s="27">
        <f>_measures_details!$B$31+_measures_details!$B$32+_measures_details!$B$33</f>
        <v/>
      </c>
      <c r="H13" s="29">
        <f>G13+H14/(1+$B14)</f>
        <v/>
      </c>
      <c r="I13" s="24">
        <f>_measures_details!$B$42</f>
        <v/>
      </c>
      <c r="J13" s="26">
        <f>I13+J14/(1+$B14)</f>
        <v/>
      </c>
    </row>
    <row r="14" ht="13" customHeight="1">
      <c r="A14" s="1" t="n">
        <v>2022</v>
      </c>
      <c r="B14" s="65">
        <f>discount!B24</f>
        <v/>
      </c>
      <c r="C14" s="21" t="n">
        <v>0</v>
      </c>
      <c r="D14" s="23">
        <f>C14+D15/(1+$B15)</f>
        <v/>
      </c>
      <c r="E14" s="24">
        <f>_measures_details!$B$25</f>
        <v/>
      </c>
      <c r="F14" s="26">
        <f>E14+F15/(1+$B15)</f>
        <v/>
      </c>
      <c r="G14" s="27">
        <f>_measures_details!$B$31+_measures_details!$B$32+_measures_details!$B$33</f>
        <v/>
      </c>
      <c r="H14" s="29">
        <f>G14+H15/(1+$B15)</f>
        <v/>
      </c>
      <c r="I14" s="24">
        <f>_measures_details!$B$42</f>
        <v/>
      </c>
      <c r="J14" s="26">
        <f>I14+J15/(1+$B15)</f>
        <v/>
      </c>
    </row>
    <row r="15" ht="13" customHeight="1">
      <c r="A15" s="1" t="n">
        <v>2023</v>
      </c>
      <c r="B15" s="65">
        <f>discount!B25</f>
        <v/>
      </c>
      <c r="C15" s="21" t="n">
        <v>6315616.8075</v>
      </c>
      <c r="D15" s="23">
        <f>C15+D16/(1+$B16)</f>
        <v/>
      </c>
      <c r="E15" s="24">
        <f>_measures_details!$B$25</f>
        <v/>
      </c>
      <c r="F15" s="26">
        <f>E15+F16/(1+$B16)</f>
        <v/>
      </c>
      <c r="G15" s="27">
        <f>_measures_details!$B$31+_measures_details!$B$32+_measures_details!$B$33</f>
        <v/>
      </c>
      <c r="H15" s="29">
        <f>G15+H16/(1+$B16)</f>
        <v/>
      </c>
      <c r="I15" s="24">
        <f>_measures_details!$B$42</f>
        <v/>
      </c>
      <c r="J15" s="26">
        <f>I15+J16/(1+$B16)</f>
        <v/>
      </c>
    </row>
    <row r="16" ht="13" customHeight="1">
      <c r="A16" s="1" t="n">
        <v>2024</v>
      </c>
      <c r="B16" s="65">
        <f>discount!B26</f>
        <v/>
      </c>
      <c r="C16" s="21" t="n">
        <v>0</v>
      </c>
      <c r="D16" s="23">
        <f>C16+D17/(1+$B17)</f>
        <v/>
      </c>
      <c r="E16" s="24">
        <f>_measures_details!$B$25</f>
        <v/>
      </c>
      <c r="F16" s="26">
        <f>E16+F17/(1+$B17)</f>
        <v/>
      </c>
      <c r="G16" s="27">
        <f>_measures_details!$B$31+_measures_details!$B$32+_measures_details!$B$33</f>
        <v/>
      </c>
      <c r="H16" s="29">
        <f>G16+H17/(1+$B17)</f>
        <v/>
      </c>
      <c r="I16" s="24">
        <f>_measures_details!$B$42</f>
        <v/>
      </c>
      <c r="J16" s="26">
        <f>I16+J17/(1+$B17)</f>
        <v/>
      </c>
    </row>
    <row r="17" ht="13" customHeight="1">
      <c r="A17" s="1" t="n">
        <v>2025</v>
      </c>
      <c r="B17" s="65">
        <f>discount!B27</f>
        <v/>
      </c>
      <c r="C17" s="21" t="n">
        <v>0</v>
      </c>
      <c r="D17" s="23">
        <f>C17+D18/(1+$B18)</f>
        <v/>
      </c>
      <c r="E17" s="24">
        <f>_measures_details!$B$25</f>
        <v/>
      </c>
      <c r="F17" s="26">
        <f>E17+F18/(1+$B18)</f>
        <v/>
      </c>
      <c r="G17" s="27">
        <f>_measures_details!$B$31+_measures_details!$B$32+_measures_details!$B$33</f>
        <v/>
      </c>
      <c r="H17" s="29">
        <f>G17+H18/(1+$B18)</f>
        <v/>
      </c>
      <c r="I17" s="24">
        <f>_measures_details!$B$42</f>
        <v/>
      </c>
      <c r="J17" s="26">
        <f>I17+J18/(1+$B18)</f>
        <v/>
      </c>
    </row>
    <row r="18" ht="13" customHeight="1">
      <c r="A18" s="1" t="n">
        <v>2026</v>
      </c>
      <c r="B18" s="65">
        <f>discount!B28</f>
        <v/>
      </c>
      <c r="C18" s="21" t="n">
        <v>0</v>
      </c>
      <c r="D18" s="23">
        <f>C18+D19/(1+$B19)</f>
        <v/>
      </c>
      <c r="E18" s="24">
        <f>_measures_details!$B$25</f>
        <v/>
      </c>
      <c r="F18" s="26">
        <f>E18+F19/(1+$B19)</f>
        <v/>
      </c>
      <c r="G18" s="27">
        <f>_measures_details!$B$31+_measures_details!$B$32+_measures_details!$B$33</f>
        <v/>
      </c>
      <c r="H18" s="29">
        <f>G18+H19/(1+$B19)</f>
        <v/>
      </c>
      <c r="I18" s="24">
        <f>_measures_details!$B$42</f>
        <v/>
      </c>
      <c r="J18" s="26">
        <f>I18+J19/(1+$B19)</f>
        <v/>
      </c>
    </row>
    <row r="19" ht="13" customHeight="1">
      <c r="A19" s="1" t="n">
        <v>2027</v>
      </c>
      <c r="B19" s="65">
        <f>discount!B29</f>
        <v/>
      </c>
      <c r="C19" s="21" t="n">
        <v>0</v>
      </c>
      <c r="D19" s="23">
        <f>C19+D20/(1+$B20)</f>
        <v/>
      </c>
      <c r="E19" s="24">
        <f>_measures_details!$B$25</f>
        <v/>
      </c>
      <c r="F19" s="26">
        <f>E19+F20/(1+$B20)</f>
        <v/>
      </c>
      <c r="G19" s="27">
        <f>_measures_details!$B$31+_measures_details!$B$32+_measures_details!$B$33</f>
        <v/>
      </c>
      <c r="H19" s="29">
        <f>G19+H20/(1+$B20)</f>
        <v/>
      </c>
      <c r="I19" s="24">
        <f>_measures_details!$B$42</f>
        <v/>
      </c>
      <c r="J19" s="26">
        <f>I19+J20/(1+$B20)</f>
        <v/>
      </c>
    </row>
    <row r="20" ht="13" customHeight="1">
      <c r="A20" s="1" t="n">
        <v>2028</v>
      </c>
      <c r="B20" s="65">
        <f>discount!B30</f>
        <v/>
      </c>
      <c r="C20" s="21" t="n">
        <v>0</v>
      </c>
      <c r="D20" s="23">
        <f>C20+D21/(1+$B21)</f>
        <v/>
      </c>
      <c r="E20" s="24">
        <f>_measures_details!$B$25</f>
        <v/>
      </c>
      <c r="F20" s="26">
        <f>E20+F21/(1+$B21)</f>
        <v/>
      </c>
      <c r="G20" s="27">
        <f>_measures_details!$B$31+_measures_details!$B$32+_measures_details!$B$33</f>
        <v/>
      </c>
      <c r="H20" s="29">
        <f>G20+H21/(1+$B21)</f>
        <v/>
      </c>
      <c r="I20" s="24">
        <f>_measures_details!$B$42</f>
        <v/>
      </c>
      <c r="J20" s="26">
        <f>I20+J21/(1+$B21)</f>
        <v/>
      </c>
    </row>
    <row r="21" ht="13" customHeight="1">
      <c r="A21" s="1" t="n">
        <v>2029</v>
      </c>
      <c r="B21" s="65">
        <f>discount!B31</f>
        <v/>
      </c>
      <c r="C21" s="21" t="n">
        <v>6315616.8075</v>
      </c>
      <c r="D21" s="23">
        <f>C21+D22/(1+$B22)</f>
        <v/>
      </c>
      <c r="E21" s="24">
        <f>_measures_details!$B$25</f>
        <v/>
      </c>
      <c r="F21" s="26">
        <f>E21+F22/(1+$B22)</f>
        <v/>
      </c>
      <c r="G21" s="27">
        <f>_measures_details!$B$31+_measures_details!$B$32+_measures_details!$B$33</f>
        <v/>
      </c>
      <c r="H21" s="29">
        <f>G21+H22/(1+$B22)</f>
        <v/>
      </c>
      <c r="I21" s="24">
        <f>_measures_details!$B$42</f>
        <v/>
      </c>
      <c r="J21" s="26">
        <f>I21+J22/(1+$B22)</f>
        <v/>
      </c>
    </row>
    <row r="22" ht="13" customHeight="1">
      <c r="A22" s="1" t="n">
        <v>2030</v>
      </c>
      <c r="B22" s="65">
        <f>discount!B32</f>
        <v/>
      </c>
      <c r="C22" s="21" t="n">
        <v>0</v>
      </c>
      <c r="D22" s="23">
        <f>C22</f>
        <v/>
      </c>
      <c r="E22" s="24">
        <f>_measures_details!$B$25</f>
        <v/>
      </c>
      <c r="F22" s="26">
        <f>E22</f>
        <v/>
      </c>
      <c r="G22" s="27">
        <f>_measures_details!$B$31+_measures_details!$B$32+_measures_details!$B$33</f>
        <v/>
      </c>
      <c r="H22" s="29">
        <f>G22</f>
        <v/>
      </c>
      <c r="I22" s="24">
        <f>_measures_details!$B$42</f>
        <v/>
      </c>
      <c r="J22" s="26">
        <f>I22</f>
        <v/>
      </c>
    </row>
  </sheetData>
  <pageMargins left="0.7" right="0.7" top="0.75" bottom="0.75" header="0.5" footer="0.5"/>
  <pageSetup orientation="portrait" paperSize="9"/>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H27" sqref="H27"/>
    </sheetView>
  </sheetViews>
  <sheetFormatPr baseColWidth="8" defaultColWidth="11.453125" defaultRowHeight="12.5"/>
  <cols>
    <col width="19.1796875" customWidth="1" min="1" max="1"/>
    <col width="8" customWidth="1" min="2" max="2"/>
    <col width="95.81640625" customWidth="1" min="3" max="3"/>
    <col width="10.81640625" customWidth="1" min="257" max="261"/>
    <col width="10.81640625" customWidth="1" min="263" max="266"/>
    <col width="10.81640625" customWidth="1" min="269" max="269"/>
    <col width="10.81640625" customWidth="1" min="272" max="272"/>
    <col width="10.81640625" customWidth="1" min="274" max="274"/>
    <col width="10.81640625" customWidth="1" min="276" max="277"/>
    <col width="10.81640625" customWidth="1" min="280" max="282"/>
    <col width="10.81640625" customWidth="1" min="284" max="284"/>
    <col width="10.81640625" customWidth="1" min="288" max="290"/>
    <col width="10.81640625" customWidth="1" min="292" max="292"/>
    <col width="10.81640625" customWidth="1" min="296" max="296"/>
    <col width="10.81640625" customWidth="1" min="298" max="298"/>
    <col width="10.81640625" customWidth="1" min="300" max="301"/>
    <col width="10.81640625" customWidth="1" min="304" max="305"/>
    <col width="10.81640625" customWidth="1" min="307" max="308"/>
    <col width="10.81640625" customWidth="1" min="312" max="312"/>
    <col width="10.81640625" customWidth="1" min="315" max="316"/>
    <col width="10.81640625" customWidth="1" min="320" max="322"/>
    <col width="10.81640625" customWidth="1" min="325" max="325"/>
    <col width="10.81640625" customWidth="1" min="327" max="333"/>
    <col width="10.81640625" customWidth="1" min="335" max="337"/>
    <col width="10.81640625" customWidth="1" min="341" max="341"/>
    <col width="10.81640625" customWidth="1" min="344" max="344"/>
    <col width="10.81640625" customWidth="1" min="346" max="346"/>
    <col width="10.81640625" customWidth="1" min="348" max="348"/>
    <col width="10.81640625" customWidth="1" min="352" max="352"/>
    <col width="10.81640625" customWidth="1" min="354" max="354"/>
    <col width="10.81640625" customWidth="1" min="357" max="357"/>
    <col width="10.81640625" customWidth="1" min="360" max="361"/>
    <col width="10.81640625" customWidth="1" min="363" max="365"/>
    <col width="10.81640625" customWidth="1" min="368" max="368"/>
    <col width="10.81640625" customWidth="1" min="370" max="370"/>
    <col width="10.81640625" customWidth="1" min="372" max="373"/>
    <col width="10.81640625" customWidth="1" min="376" max="377"/>
    <col width="10.81640625" customWidth="1" min="379" max="380"/>
    <col width="10.81640625" customWidth="1" min="384" max="384"/>
    <col width="10.81640625" customWidth="1" min="387" max="388"/>
    <col width="10.81640625" customWidth="1" min="392" max="397"/>
    <col width="10.81640625" customWidth="1" min="399" max="400"/>
    <col width="10.81640625" customWidth="1" min="402" max="405"/>
    <col width="10.81640625" customWidth="1" min="408" max="409"/>
    <col width="10.81640625" customWidth="1" min="413" max="413"/>
    <col width="10.81640625" customWidth="1" min="416" max="418"/>
    <col width="10.81640625" customWidth="1" min="420" max="421"/>
    <col width="10.81640625" customWidth="1" min="424" max="429"/>
    <col width="10.81640625" customWidth="1" min="431" max="432"/>
    <col width="10.81640625" customWidth="1" min="435" max="436"/>
    <col width="10.81640625" customWidth="1" min="440" max="444"/>
    <col width="10.81640625" customWidth="1" min="448" max="448"/>
    <col width="10.81640625" customWidth="1" min="450" max="453"/>
    <col width="10.81640625" customWidth="1" min="456" max="456"/>
    <col width="10.81640625" customWidth="1" min="459" max="461"/>
    <col width="10.81640625" customWidth="1" min="464" max="464"/>
    <col width="10.81640625" customWidth="1" min="466" max="466"/>
    <col width="10.81640625" customWidth="1" min="468" max="469"/>
    <col width="10.81640625" customWidth="1" min="472" max="472"/>
    <col width="10.81640625" customWidth="1" min="475" max="476"/>
    <col width="10.81640625" customWidth="1" min="480" max="482"/>
    <col width="10.81640625" customWidth="1" min="485" max="485"/>
    <col width="10.81640625" customWidth="1" min="487" max="493"/>
    <col width="10.81640625" customWidth="1" min="495" max="498"/>
    <col width="10.81640625" customWidth="1" min="500" max="501"/>
    <col width="10.81640625" customWidth="1" min="504" max="504"/>
    <col width="10.81640625" customWidth="1" min="509" max="509"/>
    <col width="10.81640625" customWidth="1" min="512" max="517"/>
    <col width="10.81640625" customWidth="1" min="519" max="521"/>
    <col width="10.81640625" customWidth="1" min="525" max="525"/>
    <col width="10.81640625" customWidth="1" min="528" max="528"/>
    <col width="10.81640625" customWidth="1" min="533" max="533"/>
    <col width="10.81640625" customWidth="1" min="536" max="538"/>
    <col width="10.81640625" customWidth="1" min="540" max="540"/>
    <col width="10.81640625" customWidth="1" min="544" max="549"/>
    <col width="10.81640625" customWidth="1" min="551" max="552"/>
    <col width="10.81640625" customWidth="1" min="555" max="556"/>
    <col width="10.81640625" customWidth="1" min="560" max="562"/>
    <col width="10.81640625" customWidth="1" min="564" max="564"/>
    <col width="10.81640625" customWidth="1" min="568" max="568"/>
    <col width="10.81640625" customWidth="1" min="570" max="573"/>
    <col width="10.81640625" customWidth="1" min="576" max="577"/>
    <col width="10.81640625" customWidth="1" min="579" max="580"/>
    <col width="10.81640625" customWidth="1" min="584" max="586"/>
    <col width="10.81640625" customWidth="1" min="588" max="588"/>
    <col width="10.81640625" customWidth="1" min="592" max="597"/>
    <col width="10.81640625" customWidth="1" min="599" max="600"/>
    <col width="10.81640625" customWidth="1" min="604" max="604"/>
    <col width="10.81640625" customWidth="1" min="608" max="608"/>
    <col width="10.81640625" customWidth="1" min="610" max="611"/>
    <col width="10.81640625" customWidth="1" min="613" max="613"/>
    <col width="10.81640625" customWidth="1" min="616" max="618"/>
    <col width="10.81640625" customWidth="1" min="620" max="620"/>
    <col width="10.81640625" customWidth="1" min="624" max="627"/>
    <col width="10.81640625" customWidth="1" min="629" max="629"/>
    <col width="10.81640625" customWidth="1" min="632" max="637"/>
    <col width="10.81640625" customWidth="1" min="639" max="640"/>
    <col width="10.81640625" customWidth="1" min="642" max="645"/>
    <col width="10.81640625" customWidth="1" min="648" max="653"/>
    <col width="10.81640625" customWidth="1" min="655" max="657"/>
    <col width="10.81640625" customWidth="1" min="661" max="661"/>
    <col width="10.81640625" customWidth="1" min="664" max="664"/>
    <col width="10.81640625" customWidth="1" min="666" max="666"/>
    <col width="10.81640625" customWidth="1" min="668" max="668"/>
    <col width="10.81640625" customWidth="1" min="672" max="672"/>
    <col width="10.81640625" customWidth="1" min="674" max="674"/>
    <col width="10.81640625" customWidth="1" min="677" max="677"/>
    <col width="10.81640625" customWidth="1" min="680" max="681"/>
    <col width="10.81640625" customWidth="1" min="683" max="685"/>
    <col width="10.81640625" customWidth="1" min="688" max="688"/>
    <col width="10.81640625" customWidth="1" min="690" max="690"/>
    <col width="10.81640625" customWidth="1" min="692" max="693"/>
    <col width="10.81640625" customWidth="1" min="696" max="697"/>
    <col width="10.81640625" customWidth="1" min="699" max="700"/>
    <col width="10.81640625" customWidth="1" min="704" max="704"/>
    <col width="10.81640625" customWidth="1" min="708" max="709"/>
    <col width="10.81640625" customWidth="1" min="712" max="712"/>
    <col width="10.81640625" customWidth="1" min="714" max="714"/>
    <col width="10.81640625" customWidth="1" min="716" max="717"/>
    <col width="10.81640625" customWidth="1" min="720" max="721"/>
    <col width="10.81640625" customWidth="1" min="723" max="724"/>
    <col width="10.81640625" customWidth="1" min="728" max="733"/>
    <col width="10.81640625" customWidth="1" min="735" max="736"/>
    <col width="10.81640625" customWidth="1" min="738" max="739"/>
    <col width="10.81640625" customWidth="1" min="741" max="742"/>
    <col width="10.81640625" customWidth="1" min="744" max="746"/>
    <col width="10.81640625" customWidth="1" min="748" max="750"/>
    <col width="10.81640625" customWidth="1" min="752" max="752"/>
    <col width="10.81640625" customWidth="1" min="755" max="756"/>
    <col width="10.81640625" customWidth="1" min="760" max="765"/>
    <col width="10.81640625" customWidth="1" min="767" max="771"/>
    <col width="10.81640625" customWidth="1" min="773" max="773"/>
    <col width="10.81640625" customWidth="1" min="775" max="776"/>
    <col width="10.81640625" customWidth="1" min="778" max="779"/>
    <col width="10.81640625" customWidth="1" min="781" max="781"/>
    <col width="10.81640625" customWidth="1" min="784" max="785"/>
    <col width="10.81640625" customWidth="1" min="789" max="789"/>
    <col width="10.81640625" customWidth="1" min="791" max="792"/>
    <col width="10.81640625" customWidth="1" min="794" max="794"/>
    <col width="10.81640625" customWidth="1" min="796" max="797"/>
    <col width="10.81640625" customWidth="1" min="800" max="801"/>
    <col width="10.81640625" customWidth="1" min="805" max="805"/>
    <col width="10.81640625" customWidth="1" min="807" max="813"/>
    <col width="10.81640625" customWidth="1" min="815" max="817"/>
    <col width="10.81640625" customWidth="1" min="821" max="821"/>
    <col width="10.81640625" customWidth="1" min="824" max="824"/>
    <col width="10.81640625" customWidth="1" min="829" max="829"/>
    <col width="10.81640625" customWidth="1" min="832" max="834"/>
    <col width="10.81640625" customWidth="1" min="836" max="836"/>
    <col width="10.81640625" customWidth="1" min="840" max="845"/>
    <col width="10.81640625" customWidth="1" min="847" max="849"/>
    <col width="10.81640625" customWidth="1" min="852" max="853"/>
    <col width="10.81640625" customWidth="1" min="856" max="856"/>
    <col width="10.81640625" customWidth="1" min="861" max="861"/>
    <col width="10.81640625" customWidth="1" min="864" max="865"/>
    <col width="10.81640625" customWidth="1" min="867" max="868"/>
    <col width="10.81640625" customWidth="1" min="872" max="877"/>
    <col width="10.81640625" customWidth="1" min="879" max="884"/>
    <col width="10.81640625" customWidth="1" min="886" max="886"/>
    <col width="10.81640625" customWidth="1" min="888" max="888"/>
    <col width="10.81640625" customWidth="1" min="890" max="890"/>
    <col width="10.81640625" customWidth="1" min="892" max="893"/>
    <col width="10.81640625" customWidth="1" min="896" max="897"/>
    <col width="10.81640625" customWidth="1" min="899" max="900"/>
    <col width="10.81640625" customWidth="1" min="904" max="904"/>
    <col width="10.81640625" customWidth="1" min="906" max="907"/>
    <col width="10.81640625" customWidth="1" min="909" max="909"/>
    <col width="10.81640625" customWidth="1" min="912" max="914"/>
    <col width="10.81640625" customWidth="1" min="917" max="917"/>
    <col width="10.81640625" customWidth="1" min="920" max="920"/>
    <col width="10.81640625" customWidth="1" min="922" max="923"/>
    <col width="10.81640625" customWidth="1" min="925" max="926"/>
    <col width="10.81640625" customWidth="1" min="928" max="930"/>
    <col width="10.81640625" customWidth="1" min="932" max="934"/>
    <col width="10.81640625" customWidth="1" min="936" max="936"/>
    <col width="10.81640625" customWidth="1" min="938" max="939"/>
    <col width="10.81640625" customWidth="1" min="941" max="941"/>
    <col width="10.81640625" customWidth="1" min="943" max="944"/>
    <col width="10.81640625" customWidth="1" min="946" max="946"/>
    <col width="10.81640625" customWidth="1" min="949" max="952"/>
    <col width="10.81640625" customWidth="1" min="954" max="954"/>
    <col width="10.81640625" customWidth="1" min="957" max="960"/>
    <col width="10.81640625" customWidth="1" min="964" max="964"/>
    <col width="10.81640625" customWidth="1" min="968" max="971"/>
    <col width="10.81640625" customWidth="1" min="973" max="973"/>
    <col width="10.81640625" customWidth="1" min="976" max="976"/>
    <col width="10.81640625" customWidth="1" min="978" max="979"/>
    <col width="10.81640625" customWidth="1" min="981" max="981"/>
    <col width="10.81640625" customWidth="1" min="984" max="984"/>
    <col width="10.81640625" customWidth="1" min="987" max="989"/>
    <col width="10.81640625" customWidth="1" min="992" max="995"/>
    <col width="10.81640625" customWidth="1" min="997" max="997"/>
    <col width="10.81640625" customWidth="1" min="1000" max="1005"/>
    <col width="10.81640625" customWidth="1" min="1007" max="1008"/>
    <col width="10.81640625" customWidth="1" min="1010" max="1011"/>
    <col width="10.81640625" customWidth="1" min="1013" max="1013"/>
    <col width="10.81640625" customWidth="1" min="1016" max="1018"/>
    <col width="10.81640625" customWidth="1" min="1020" max="1020"/>
    <col width="10.81640625" customWidth="1" min="1024" max="1024"/>
    <col width="10.81640625" customWidth="1" min="1026" max="1026"/>
    <col width="10.81640625" customWidth="1" min="1028" max="1029"/>
    <col width="10.81640625" customWidth="1" min="1032" max="1032"/>
    <col width="10.81640625" customWidth="1" min="1034" max="1034"/>
    <col width="10.81640625" customWidth="1" min="1037" max="1037"/>
    <col width="10.81640625" customWidth="1" min="1040" max="1045"/>
    <col width="10.81640625" customWidth="1" min="1047" max="1050"/>
    <col width="10.81640625" customWidth="1" min="1052" max="1052"/>
    <col width="10.81640625" customWidth="1" min="1056" max="1059"/>
    <col width="10.81640625" customWidth="1" min="1061" max="1061"/>
    <col width="10.81640625" customWidth="1" min="1064" max="1064"/>
    <col width="10.81640625" customWidth="1" min="1066" max="1066"/>
    <col width="10.81640625" customWidth="1" min="1068" max="1069"/>
    <col width="10.81640625" customWidth="1" min="1072" max="1077"/>
    <col width="10.81640625" customWidth="1" min="1079" max="1080"/>
    <col width="10.81640625" customWidth="1" min="1083" max="1084"/>
    <col width="10.81640625" customWidth="1" min="1088" max="1092"/>
    <col width="10.81640625" customWidth="1" min="1096" max="1096"/>
    <col width="10.81640625" customWidth="1" min="1098" max="1098"/>
    <col width="10.81640625" customWidth="1" min="1100" max="1101"/>
    <col width="10.81640625" customWidth="1" min="1104" max="1104"/>
    <col width="10.81640625" customWidth="1" min="1106" max="1109"/>
    <col width="10.81640625" customWidth="1" min="1112" max="1112"/>
    <col width="10.81640625" customWidth="1" min="1115" max="1115"/>
    <col width="10.81640625" customWidth="1" min="1117" max="1117"/>
    <col width="10.81640625" customWidth="1" min="1120" max="1120"/>
    <col width="10.81640625" customWidth="1" min="1122" max="1123"/>
    <col width="10.81640625" customWidth="1" min="1125" max="1125"/>
    <col width="10.81640625" customWidth="1" min="1128" max="1129"/>
    <col width="10.81640625" customWidth="1" min="1133" max="1133"/>
    <col width="10.81640625" customWidth="1" min="1136" max="1136"/>
    <col width="10.81640625" customWidth="1" min="1140" max="1141"/>
    <col width="10.81640625" customWidth="1" min="1144" max="1149"/>
    <col width="10.81640625" customWidth="1" min="1151" max="1153"/>
    <col width="10.81640625" customWidth="1" min="1157" max="1157"/>
    <col width="10.81640625" customWidth="1" min="1160" max="1160"/>
    <col width="10.81640625" customWidth="1" min="1162" max="1165"/>
    <col width="10.81640625" customWidth="1" min="1168" max="1168"/>
    <col width="10.81640625" customWidth="1" min="1170" max="1170"/>
    <col width="10.81640625" customWidth="1" min="1173" max="1173"/>
    <col width="10.81640625" customWidth="1" min="1176" max="1176"/>
    <col width="10.81640625" customWidth="1" min="1178" max="1178"/>
    <col width="10.81640625" customWidth="1" min="1180" max="1181"/>
    <col width="10.81640625" customWidth="1" min="1184" max="1189"/>
    <col width="10.81640625" customWidth="1" min="1191" max="1193"/>
    <col width="10.81640625" customWidth="1" min="1196" max="1197"/>
    <col width="10.81640625" customWidth="1" min="1200" max="1200"/>
    <col width="10.81640625" customWidth="1" min="1205" max="1205"/>
    <col width="10.81640625" customWidth="1" min="1208" max="1209"/>
    <col width="10.81640625" customWidth="1" min="1211" max="1212"/>
    <col width="10.81640625" customWidth="1" min="1216" max="1221"/>
    <col width="10.81640625" customWidth="1" min="1223" max="1224"/>
    <col width="10.81640625" customWidth="1" min="1226" max="1229"/>
    <col width="10.81640625" customWidth="1" min="1232" max="1233"/>
    <col width="10.81640625" customWidth="1" min="1237" max="1237"/>
    <col width="10.81640625" customWidth="1" min="1240" max="1245"/>
    <col width="10.81640625" customWidth="1" min="1247" max="1248"/>
    <col width="10.81640625" customWidth="1" min="1250" max="1251"/>
    <col width="10.81640625" customWidth="1" min="1253" max="1254"/>
    <col width="10.81640625" customWidth="1" min="1256" max="1258"/>
    <col width="10.81640625" customWidth="1" min="1260" max="1262"/>
    <col width="10.81640625" customWidth="1" min="1264" max="1269"/>
    <col width="10.81640625" customWidth="1" min="1271" max="1272"/>
    <col width="10.81640625" customWidth="1" min="1275" max="1276"/>
    <col width="10.81640625" customWidth="1" min="1280" max="1283"/>
    <col width="10.81640625" customWidth="1" min="1285" max="1285"/>
    <col width="10.81640625" customWidth="1" min="1288" max="1288"/>
    <col width="10.81640625" customWidth="1" min="1290" max="1293"/>
    <col width="10.81640625" customWidth="1" min="1296" max="1298"/>
    <col width="10.81640625" customWidth="1" min="1301" max="1301"/>
    <col width="10.81640625" customWidth="1" min="1304" max="1306"/>
    <col width="10.81640625" customWidth="1" min="1309" max="1309"/>
    <col width="10.81640625" customWidth="1" min="1312" max="1317"/>
    <col width="10.81640625" customWidth="1" min="1319" max="1320"/>
    <col width="10.81640625" customWidth="1" min="1323" max="1325"/>
    <col width="10.81640625" customWidth="1" min="1328" max="1328"/>
    <col width="10.81640625" customWidth="1" min="1333" max="1333"/>
    <col width="10.81640625" customWidth="1" min="1336" max="1337"/>
    <col width="10.81640625" customWidth="1" min="1339" max="1340"/>
    <col width="10.81640625" customWidth="1" min="1344" max="1345"/>
    <col width="10.81640625" customWidth="1" min="1347" max="1348"/>
    <col width="10.81640625" customWidth="1" min="1352" max="1352"/>
    <col width="10.81640625" customWidth="1" min="1354" max="1354"/>
    <col width="10.81640625" customWidth="1" min="1356" max="1357"/>
    <col width="10.81640625" customWidth="1" min="1360" max="1360"/>
    <col width="10.81640625" customWidth="1" min="1363" max="1364"/>
    <col width="10.81640625" customWidth="1" min="1368" max="1372"/>
    <col width="10.81640625" customWidth="1" min="1376" max="1376"/>
    <col width="10.81640625" customWidth="1" min="1381" max="1381"/>
    <col width="10.81640625" customWidth="1" min="1384" max="1385"/>
    <col width="10.81640625" customWidth="1" min="1389" max="1389"/>
    <col width="10.81640625" customWidth="1" min="1392" max="1394"/>
    <col width="10.81640625" customWidth="1" min="1396" max="1397"/>
    <col width="10.81640625" customWidth="1" min="1400" max="1405"/>
    <col width="10.81640625" customWidth="1" min="1407" max="1410"/>
    <col width="10.81640625" customWidth="1" min="1412" max="1412"/>
    <col width="10.81640625" customWidth="1" min="1416" max="1416"/>
    <col width="10.81640625" customWidth="1" min="1421" max="1421"/>
    <col width="10.81640625" customWidth="1" min="1424" max="1426"/>
    <col width="10.81640625" customWidth="1" min="1429" max="1429"/>
    <col width="10.81640625" customWidth="1" min="1431" max="1437"/>
    <col width="10.81640625" customWidth="1" min="1439" max="1440"/>
    <col width="10.81640625" customWidth="1" min="1443" max="1444"/>
    <col width="10.81640625" customWidth="1" min="1448" max="1448"/>
    <col width="10.81640625" customWidth="1" min="1450" max="1450"/>
    <col width="10.81640625" customWidth="1" min="1452" max="1452"/>
    <col width="10.81640625" customWidth="1" min="1456" max="1456"/>
    <col width="10.81640625" customWidth="1" min="1459" max="1461"/>
    <col width="10.81640625" customWidth="1" min="1464" max="1467"/>
    <col width="10.81640625" customWidth="1" min="1469" max="1469"/>
    <col width="10.81640625" customWidth="1" min="1472" max="1477"/>
    <col width="10.81640625" customWidth="1" min="1479" max="1480"/>
    <col width="10.81640625" customWidth="1" min="1482" max="1485"/>
    <col width="10.81640625" customWidth="1" min="1488" max="1488"/>
    <col width="10.81640625" customWidth="1" min="1491" max="1492"/>
    <col width="10.81640625" customWidth="1" min="1496" max="1501"/>
    <col width="10.81640625" customWidth="1" min="1503" max="1504"/>
    <col width="10.81640625" customWidth="1" min="1507" max="1510"/>
    <col width="10.81640625" customWidth="1" min="1512" max="1512"/>
    <col width="10.81640625" customWidth="1" min="1514" max="1517"/>
    <col width="10.81640625" customWidth="1" min="1520" max="1522"/>
    <col width="10.81640625" customWidth="1" min="1524" max="1524"/>
    <col width="10.81640625" customWidth="1" min="1528" max="1528"/>
    <col width="10.81640625" customWidth="1" min="1530" max="1530"/>
    <col width="10.81640625" customWidth="1" min="1532" max="1533"/>
    <col width="10.81640625" customWidth="1" min="1536" max="1536"/>
    <col width="10.81640625" customWidth="1" min="1540" max="1541"/>
    <col width="10.81640625" customWidth="1" min="1544" max="1544"/>
    <col width="10.81640625" customWidth="1" min="1549" max="1549"/>
    <col width="10.81640625" customWidth="1" min="1552" max="1553"/>
    <col width="10.81640625" customWidth="1" min="1555" max="1556"/>
    <col width="10.81640625" customWidth="1" min="1560" max="1560"/>
    <col width="10.81640625" customWidth="1" min="1562" max="1563"/>
    <col width="10.81640625" customWidth="1" min="1568" max="1570"/>
    <col width="10.81640625" customWidth="1" min="1573" max="1573"/>
    <col width="10.81640625" customWidth="1" min="1575" max="1581"/>
    <col width="10.81640625" customWidth="1" min="1583" max="1586"/>
    <col width="10.81640625" customWidth="1" min="1588" max="1590"/>
    <col width="10.81640625" customWidth="1" min="1592" max="1592"/>
    <col width="10.81640625" customWidth="1" min="1594" max="1597"/>
    <col width="10.81640625" customWidth="1" min="1600" max="1600"/>
    <col width="10.81640625" customWidth="1" min="1602" max="1602"/>
    <col width="10.81640625" customWidth="1" min="1605" max="1605"/>
    <col width="10.81640625" customWidth="1" min="1608" max="1608"/>
    <col width="10.81640625" customWidth="1" min="1610" max="1613"/>
    <col width="10.81640625" customWidth="1" min="1616" max="1616"/>
    <col width="10.81640625" customWidth="1" min="1620" max="1621"/>
    <col width="10.81640625" customWidth="1" min="1624" max="1624"/>
    <col width="10.81640625" customWidth="1" min="1626" max="1626"/>
    <col width="10.81640625" customWidth="1" min="1628" max="1629"/>
    <col width="10.81640625" customWidth="1" min="1632" max="1633"/>
    <col width="10.81640625" customWidth="1" min="1636" max="1638"/>
    <col width="10.81640625" customWidth="1" min="1640" max="1640"/>
    <col width="10.81640625" customWidth="1" min="1642" max="1642"/>
    <col width="10.81640625" customWidth="1" min="1644" max="1644"/>
    <col width="10.81640625" customWidth="1" min="1648" max="1649"/>
    <col width="10.81640625" customWidth="1" min="1653" max="1653"/>
    <col width="10.81640625" customWidth="1" min="1656" max="1656"/>
    <col width="10.81640625" customWidth="1" min="1658" max="1659"/>
    <col width="10.81640625" customWidth="1" min="1661" max="1662"/>
    <col width="10.81640625" customWidth="1" min="1664" max="1666"/>
    <col width="10.81640625" customWidth="1" min="1668" max="1670"/>
    <col width="10.81640625" customWidth="1" min="1672" max="1673"/>
    <col width="10.81640625" customWidth="1" min="1677" max="1677"/>
    <col width="10.81640625" customWidth="1" min="1679" max="1681"/>
    <col width="10.81640625" customWidth="1" min="1685" max="1685"/>
    <col width="10.81640625" customWidth="1" min="1687" max="1689"/>
    <col width="10.81640625" customWidth="1" min="1693" max="1693"/>
    <col width="10.81640625" customWidth="1" min="1695" max="1696"/>
    <col width="10.81640625" customWidth="1" min="1698" max="1698"/>
    <col width="10.81640625" customWidth="1" min="1701" max="1705"/>
    <col width="10.81640625" customWidth="1" min="1707" max="1708"/>
    <col width="10.81640625" customWidth="1" min="1712" max="1712"/>
    <col width="10.81640625" customWidth="1" min="1714" max="1714"/>
    <col width="10.81640625" customWidth="1" min="1716" max="1717"/>
    <col width="10.81640625" customWidth="1" min="1720" max="1720"/>
    <col width="10.81640625" customWidth="1" min="1723" max="1724"/>
    <col width="10.81640625" customWidth="1" min="1728" max="1732"/>
    <col width="10.81640625" customWidth="1" min="1736" max="1736"/>
    <col width="10.81640625" customWidth="1" min="1738" max="1738"/>
    <col width="10.81640625" customWidth="1" min="1740" max="1741"/>
    <col width="10.81640625" customWidth="1" min="1744" max="1744"/>
    <col width="10.81640625" customWidth="1" min="1747" max="1749"/>
    <col width="10.81640625" customWidth="1" min="1752" max="1754"/>
    <col width="10.81640625" customWidth="1" min="1756" max="1756"/>
    <col width="10.81640625" customWidth="1" min="1760" max="1760"/>
    <col width="10.81640625" customWidth="1" min="1762" max="1763"/>
    <col width="10.81640625" customWidth="1" min="1765" max="1765"/>
    <col width="10.81640625" customWidth="1" min="1768" max="1769"/>
    <col width="10.81640625" customWidth="1" min="1772" max="1772"/>
    <col width="10.81640625" customWidth="1" min="1776" max="1776"/>
    <col width="10.81640625" customWidth="1" min="1778" max="1778"/>
    <col width="10.81640625" customWidth="1" min="1780" max="1781"/>
    <col width="10.81640625" customWidth="1" min="1784" max="1789"/>
    <col width="10.81640625" customWidth="1" min="1791" max="1792"/>
    <col width="10.81640625" customWidth="1" min="1797" max="1797"/>
    <col width="10.81640625" customWidth="1" min="1800" max="1801"/>
    <col width="10.81640625" customWidth="1" min="1804" max="1805"/>
    <col width="10.81640625" customWidth="1" min="1808" max="1813"/>
    <col width="10.81640625" customWidth="1" min="1815" max="1820"/>
    <col width="10.81640625" customWidth="1" min="1824" max="1824"/>
    <col width="10.81640625" customWidth="1" min="1826" max="1826"/>
    <col width="10.81640625" customWidth="1" min="1828" max="1829"/>
    <col width="10.81640625" customWidth="1" min="1832" max="1833"/>
    <col width="10.81640625" customWidth="1" min="1835" max="1836"/>
    <col width="10.81640625" customWidth="1" min="1840" max="1840"/>
    <col width="10.81640625" customWidth="1" min="1842" max="1843"/>
    <col width="10.81640625" customWidth="1" min="1845" max="1845"/>
    <col width="10.81640625" customWidth="1" min="1848" max="1850"/>
    <col width="10.81640625" customWidth="1" min="1853" max="1853"/>
    <col width="10.81640625" customWidth="1" min="1856" max="1861"/>
    <col width="10.81640625" customWidth="1" min="1863" max="1867"/>
    <col width="10.81640625" customWidth="1" min="1869" max="1869"/>
    <col width="10.81640625" customWidth="1" min="1871" max="1872"/>
    <col width="10.81640625" customWidth="1" min="1874" max="1875"/>
    <col width="10.81640625" customWidth="1" min="1877" max="1877"/>
    <col width="10.81640625" customWidth="1" min="1880" max="1881"/>
    <col width="10.81640625" customWidth="1" min="1885" max="1885"/>
    <col width="10.81640625" customWidth="1" min="1887" max="1888"/>
    <col width="10.81640625" customWidth="1" min="1890" max="1890"/>
    <col width="10.81640625" customWidth="1" min="1892" max="1893"/>
    <col width="10.81640625" customWidth="1" min="1896" max="1897"/>
    <col width="10.81640625" customWidth="1" min="1901" max="1901"/>
    <col width="10.81640625" customWidth="1" min="1903" max="1909"/>
    <col width="10.81640625" customWidth="1" min="1911" max="1914"/>
    <col width="10.81640625" customWidth="1" min="1916" max="1916"/>
    <col width="10.81640625" customWidth="1" min="1920" max="1923"/>
    <col width="10.81640625" customWidth="1" min="1925" max="1925"/>
    <col width="10.81640625" customWidth="1" min="1928" max="1928"/>
    <col width="10.81640625" customWidth="1" min="1930" max="1930"/>
    <col width="10.81640625" customWidth="1" min="1932" max="1933"/>
    <col width="10.81640625" customWidth="1" min="1936" max="1941"/>
    <col width="10.81640625" customWidth="1" min="1943" max="1944"/>
    <col width="10.81640625" customWidth="1" min="1946" max="1946"/>
    <col width="10.81640625" customWidth="1" min="1948" max="1948"/>
    <col width="10.81640625" customWidth="1" min="1952" max="1952"/>
    <col width="10.81640625" customWidth="1" min="1955" max="1956"/>
    <col width="10.81640625" customWidth="1" min="1960" max="1960"/>
    <col width="10.81640625" customWidth="1" min="1962" max="1962"/>
    <col width="10.81640625" customWidth="1" min="1964" max="1965"/>
    <col width="10.81640625" customWidth="1" min="1968" max="1969"/>
    <col width="10.81640625" customWidth="1" min="1971" max="1972"/>
    <col width="10.81640625" customWidth="1" min="1976" max="1981"/>
    <col width="10.81640625" customWidth="1" min="1983" max="1985"/>
    <col width="10.81640625" customWidth="1" min="1989" max="1989"/>
    <col width="10.81640625" customWidth="1" min="1992" max="1992"/>
    <col width="10.81640625" customWidth="1" min="1994" max="1994"/>
    <col width="10.81640625" customWidth="1" min="1996" max="1997"/>
    <col width="10.81640625" customWidth="1" min="2000" max="2000"/>
    <col width="10.81640625" customWidth="1" min="2002" max="2002"/>
    <col width="10.81640625" customWidth="1" min="2004" max="2005"/>
    <col width="10.81640625" customWidth="1" min="2008" max="2010"/>
    <col width="10.81640625" customWidth="1" min="2012" max="2013"/>
    <col width="10.81640625" customWidth="1" min="2016" max="2016"/>
    <col width="10.81640625" customWidth="1" min="2019" max="2020"/>
    <col width="10.81640625" customWidth="1" min="2024" max="2029"/>
    <col width="10.81640625" customWidth="1" min="2031" max="2034"/>
    <col width="10.81640625" customWidth="1" min="2036" max="2036"/>
    <col width="10.81640625" customWidth="1" min="2040" max="2040"/>
    <col width="10.81640625" customWidth="1" min="2045" max="2045"/>
    <col width="10.81640625" customWidth="1" min="2048" max="2053"/>
    <col width="10.81640625" customWidth="1" min="2055" max="2056"/>
    <col width="10.81640625" customWidth="1" min="2059" max="2059"/>
    <col width="10.81640625" customWidth="1" min="2061" max="2061"/>
    <col width="10.81640625" customWidth="1" min="2064" max="2065"/>
    <col width="10.81640625" customWidth="1" min="2069" max="2069"/>
    <col width="10.81640625" customWidth="1" min="2072" max="2072"/>
    <col width="10.81640625" customWidth="1" min="2077" max="2077"/>
    <col width="10.81640625" customWidth="1" min="2080" max="2080"/>
    <col width="10.81640625" customWidth="1" min="2084" max="2084"/>
    <col width="10.81640625" customWidth="1" min="2088" max="2093"/>
    <col width="10.81640625" customWidth="1" min="2095" max="2096"/>
    <col width="10.81640625" customWidth="1" min="2100" max="2100"/>
    <col width="10.81640625" customWidth="1" min="2104" max="2107"/>
    <col width="10.81640625" customWidth="1" min="2109" max="2109"/>
    <col width="10.81640625" customWidth="1" min="2112" max="2112"/>
    <col width="10.81640625" customWidth="1" min="2114" max="2115"/>
    <col width="10.81640625" customWidth="1" min="2117" max="2117"/>
    <col width="10.81640625" customWidth="1" min="2120" max="2120"/>
    <col width="10.81640625" customWidth="1" min="2123" max="2125"/>
    <col width="10.81640625" customWidth="1" min="2128" max="2131"/>
    <col width="10.81640625" customWidth="1" min="2133" max="2133"/>
    <col width="10.81640625" customWidth="1" min="2136" max="2141"/>
    <col width="10.81640625" customWidth="1" min="2143" max="2144"/>
    <col width="10.81640625" customWidth="1" min="2146" max="2146"/>
    <col width="10.81640625" customWidth="1" min="2148" max="2149"/>
    <col width="10.81640625" customWidth="1" min="2152" max="2153"/>
    <col width="10.81640625" customWidth="1" min="2157" max="2157"/>
    <col width="10.81640625" customWidth="1" min="2160" max="2162"/>
    <col width="10.81640625" customWidth="1" min="2164" max="2164"/>
    <col width="10.81640625" customWidth="1" min="2168" max="2168"/>
    <col width="10.81640625" customWidth="1" min="2170" max="2171"/>
    <col width="10.81640625" customWidth="1" min="2173" max="2173"/>
    <col width="10.81640625" customWidth="1" min="2176" max="2178"/>
    <col width="10.81640625" customWidth="1" min="2180" max="2180"/>
    <col width="10.81640625" customWidth="1" min="2184" max="2184"/>
    <col width="10.81640625" customWidth="1" min="2186" max="2187"/>
    <col width="10.81640625" customWidth="1" min="2192" max="2197"/>
    <col width="10.81640625" customWidth="1" min="2199" max="2202"/>
    <col width="10.81640625" customWidth="1" min="2204" max="2204"/>
    <col width="10.81640625" customWidth="1" min="2208" max="2208"/>
    <col width="10.81640625" customWidth="1" min="2213" max="2213"/>
    <col width="10.81640625" customWidth="1" min="2216" max="2221"/>
    <col width="10.81640625" customWidth="1" min="2223" max="2224"/>
    <col width="10.81640625" customWidth="1" min="2226" max="2226"/>
    <col width="10.81640625" customWidth="1" min="2228" max="2229"/>
    <col width="10.81640625" customWidth="1" min="2232" max="2235"/>
    <col width="10.81640625" customWidth="1" min="2240" max="2244"/>
    <col width="10.81640625" customWidth="1" min="2248" max="2248"/>
    <col width="10.81640625" customWidth="1" min="2253" max="2253"/>
    <col width="10.81640625" customWidth="1" min="2256" max="2256"/>
    <col width="10.81640625" customWidth="1" min="2259" max="2260"/>
    <col width="10.81640625" customWidth="1" min="2264" max="2264"/>
    <col width="10.81640625" customWidth="1" min="2266" max="2266"/>
    <col width="10.81640625" customWidth="1" min="2268" max="2269"/>
    <col width="10.81640625" customWidth="1" min="2272" max="2277"/>
    <col width="10.81640625" customWidth="1" min="2279" max="2282"/>
    <col width="10.81640625" customWidth="1" min="2284" max="2284"/>
    <col width="10.81640625" customWidth="1" min="2288" max="2288"/>
    <col width="10.81640625" customWidth="1" min="2293" max="2293"/>
    <col width="10.81640625" customWidth="1" min="2296" max="2301"/>
    <col width="10.81640625" customWidth="1" min="2303" max="2304"/>
    <col width="10.81640625" customWidth="1" min="2308" max="2308"/>
    <col width="10.81640625" customWidth="1" min="2312" max="2315"/>
    <col width="10.81640625" customWidth="1" min="2317" max="2317"/>
    <col width="10.81640625" customWidth="1" min="2320" max="2320"/>
    <col width="10.81640625" customWidth="1" min="2322" max="2323"/>
    <col width="10.81640625" customWidth="1" min="2325" max="2325"/>
    <col width="10.81640625" customWidth="1" min="2328" max="2328"/>
    <col width="10.81640625" customWidth="1" min="2331" max="2333"/>
    <col width="10.81640625" customWidth="1" min="2336" max="2339"/>
    <col width="10.81640625" customWidth="1" min="2341" max="2341"/>
    <col width="10.81640625" customWidth="1" min="2344" max="2349"/>
    <col width="10.81640625" customWidth="1" min="2351" max="2356"/>
    <col width="10.81640625" customWidth="1" min="2360" max="2360"/>
    <col width="10.81640625" customWidth="1" min="2362" max="2362"/>
    <col width="10.81640625" customWidth="1" min="2364" max="2365"/>
    <col width="10.81640625" customWidth="1" min="2368" max="2369"/>
    <col width="10.81640625" customWidth="1" min="2371" max="2372"/>
    <col width="10.81640625" customWidth="1" min="2376" max="2376"/>
    <col width="10.81640625" customWidth="1" min="2378" max="2379"/>
    <col width="10.81640625" customWidth="1" min="2381" max="2381"/>
    <col width="10.81640625" customWidth="1" min="2384" max="2386"/>
    <col width="10.81640625" customWidth="1" min="2389" max="2389"/>
    <col width="10.81640625" customWidth="1" min="2392" max="2392"/>
    <col width="10.81640625" customWidth="1" min="2394" max="2395"/>
    <col width="10.81640625" customWidth="1" min="2397" max="2397"/>
    <col width="10.81640625" customWidth="1" min="2399" max="2400"/>
    <col width="10.81640625" customWidth="1" min="2402" max="2402"/>
    <col width="10.81640625" customWidth="1" min="2405" max="2408"/>
    <col width="10.81640625" customWidth="1" min="2411" max="2411"/>
    <col width="10.81640625" customWidth="1" min="2413" max="2413"/>
    <col width="10.81640625" customWidth="1" min="2416" max="2416"/>
    <col width="10.81640625" customWidth="1" min="2418" max="2418"/>
    <col width="10.81640625" customWidth="1" min="2420" max="2421"/>
    <col width="10.81640625" customWidth="1" min="2424" max="2429"/>
    <col width="10.81640625" customWidth="1" min="2431" max="2435"/>
    <col width="10.81640625" customWidth="1" min="2437" max="2437"/>
    <col width="10.81640625" customWidth="1" min="2439" max="2441"/>
    <col width="10.81640625" customWidth="1" min="2445" max="2445"/>
    <col width="10.81640625" customWidth="1" min="2448" max="2448"/>
    <col width="10.81640625" customWidth="1" min="2453" max="2453"/>
    <col width="10.81640625" customWidth="1" min="2456" max="2461"/>
    <col width="10.81640625" customWidth="1" min="2463" max="2464"/>
    <col width="10.81640625" customWidth="1" min="2467" max="2468"/>
    <col width="10.81640625" customWidth="1" min="2472" max="2472"/>
    <col width="10.81640625" customWidth="1" min="2474" max="2474"/>
    <col width="10.81640625" customWidth="1" min="2476" max="2477"/>
    <col width="10.81640625" customWidth="1" min="2480" max="2480"/>
    <col width="10.81640625" customWidth="1" min="2482" max="2482"/>
    <col width="10.81640625" customWidth="1" min="2485" max="2485"/>
    <col width="10.81640625" customWidth="1" min="2488" max="2488"/>
    <col width="10.81640625" customWidth="1" min="2490" max="2491"/>
    <col width="10.81640625" customWidth="1" min="2493" max="2493"/>
    <col width="10.81640625" customWidth="1" min="2496" max="2496"/>
    <col width="10.81640625" customWidth="1" min="2499" max="2501"/>
    <col width="10.81640625" customWidth="1" min="2504" max="2504"/>
    <col width="10.81640625" customWidth="1" min="2509" max="2509"/>
    <col width="10.81640625" customWidth="1" min="2512" max="2514"/>
    <col width="10.81640625" customWidth="1" min="2517" max="2517"/>
    <col width="10.81640625" customWidth="1" min="2520" max="2520"/>
    <col width="10.81640625" customWidth="1" min="2525" max="2525"/>
    <col width="10.81640625" customWidth="1" min="2528" max="2529"/>
    <col width="10.81640625" customWidth="1" min="2533" max="2533"/>
    <col width="10.81640625" customWidth="1" min="2536" max="2541"/>
    <col width="10.81640625" customWidth="1" min="2543" max="2544"/>
    <col width="10.81640625" customWidth="1" min="2546" max="2549"/>
    <col width="10.81640625" customWidth="1" min="2552" max="2554"/>
    <col width="10.81640625" customWidth="1" min="2556" max="2556"/>
    <col width="10.81640625" customWidth="1" min="2560" max="2565"/>
    <col width="10.81640625" customWidth="1" min="2567" max="2570"/>
    <col width="10.81640625" customWidth="1" min="2572" max="2572"/>
    <col width="10.81640625" customWidth="1" min="2576" max="2579"/>
    <col width="10.81640625" customWidth="1" min="2581" max="2581"/>
    <col width="10.81640625" customWidth="1" min="2584" max="2584"/>
    <col width="10.81640625" customWidth="1" min="2586" max="2586"/>
    <col width="10.81640625" customWidth="1" min="2588" max="2589"/>
    <col width="10.81640625" customWidth="1" min="2592" max="2597"/>
    <col width="10.81640625" customWidth="1" min="2599" max="2600"/>
    <col width="10.81640625" customWidth="1" min="2602" max="2602"/>
    <col width="10.81640625" customWidth="1" min="2604" max="2605"/>
    <col width="10.81640625" customWidth="1" min="2608" max="2609"/>
    <col width="10.81640625" customWidth="1" min="2613" max="2613"/>
    <col width="10.81640625" customWidth="1" min="2616" max="2618"/>
    <col width="10.81640625" customWidth="1" min="2620" max="2621"/>
    <col width="10.81640625" customWidth="1" min="2624" max="2624"/>
    <col width="10.81640625" customWidth="1" min="2626" max="2627"/>
    <col width="10.81640625" customWidth="1" min="2629" max="2629"/>
    <col width="10.81640625" customWidth="1" min="2631" max="2633"/>
    <col width="10.81640625" customWidth="1" min="2635" max="2635"/>
    <col width="10.81640625" customWidth="1" min="2639" max="2640"/>
    <col width="10.81640625" customWidth="1" min="2642" max="2642"/>
    <col width="10.81640625" customWidth="1" min="2645" max="2648"/>
    <col width="10.81640625" customWidth="1" min="2650" max="2652"/>
    <col width="10.81640625" customWidth="1" min="2655" max="2658"/>
    <col width="10.81640625" customWidth="1" min="2660" max="2660"/>
    <col width="10.81640625" customWidth="1" min="2664" max="2664"/>
    <col width="10.81640625" customWidth="1" min="2669" max="2669"/>
    <col width="10.81640625" customWidth="1" min="2672" max="2672"/>
    <col width="10.81640625" customWidth="1" min="2675" max="2676"/>
    <col width="10.81640625" customWidth="1" min="2679" max="2680"/>
    <col width="10.81640625" customWidth="1" min="2683" max="2683"/>
    <col width="10.81640625" customWidth="1" min="2687" max="2688"/>
    <col width="10.81640625" customWidth="1" min="2691" max="2692"/>
    <col width="10.81640625" customWidth="1" min="2695" max="2698"/>
    <col width="10.81640625" customWidth="1" min="2700" max="2700"/>
    <col width="10.81640625" customWidth="1" min="2704" max="2704"/>
    <col width="10.81640625" customWidth="1" min="2709" max="2709"/>
    <col width="10.81640625" customWidth="1" min="2712" max="2714"/>
    <col width="10.81640625" customWidth="1" min="2716" max="2716"/>
    <col width="10.81640625" customWidth="1" min="2719" max="2720"/>
    <col width="10.81640625" customWidth="1" min="2722" max="2722"/>
    <col width="10.81640625" customWidth="1" min="2725" max="2728"/>
    <col width="10.81640625" customWidth="1" min="2730" max="2730"/>
    <col width="10.81640625" customWidth="1" min="2733" max="2736"/>
    <col width="10.81640625" customWidth="1" min="2738" max="2738"/>
    <col width="10.81640625" customWidth="1" min="2740" max="2742"/>
    <col width="10.81640625" customWidth="1" min="2744" max="2745"/>
    <col width="10.81640625" customWidth="1" min="2749" max="2749"/>
    <col width="10.81640625" customWidth="1" min="2752" max="2754"/>
    <col width="10.81640625" customWidth="1" min="2756" max="2756"/>
    <col width="10.81640625" customWidth="1" min="2760" max="2760"/>
    <col width="10.81640625" customWidth="1" min="2762" max="2762"/>
    <col width="10.81640625" customWidth="1" min="2764" max="2765"/>
    <col width="10.81640625" customWidth="1" min="2768" max="2769"/>
    <col width="10.81640625" customWidth="1" min="2771" max="2772"/>
    <col width="10.81640625" customWidth="1" min="2776" max="2781"/>
    <col width="10.81640625" customWidth="1" min="2783" max="2785"/>
    <col width="10.81640625" customWidth="1" min="2789" max="2789"/>
    <col width="10.81640625" customWidth="1" min="2792" max="2792"/>
    <col width="10.81640625" customWidth="1" min="2794" max="2795"/>
    <col width="10.81640625" customWidth="1" min="2797" max="2797"/>
    <col width="10.81640625" customWidth="1" min="2800" max="2802"/>
    <col width="10.81640625" customWidth="1" min="2805" max="2805"/>
    <col width="10.81640625" customWidth="1" min="2808" max="2813"/>
    <col width="10.81640625" customWidth="1" min="2815" max="2816"/>
    <col width="10.81640625" customWidth="1" min="2818" max="2819"/>
    <col width="10.81640625" customWidth="1" min="2821" max="2821"/>
    <col width="10.81640625" customWidth="1" min="2824" max="2825"/>
    <col width="10.81640625" customWidth="1" min="2828" max="2829"/>
    <col width="10.81640625" customWidth="1" min="2832" max="2837"/>
    <col width="10.81640625" customWidth="1" min="2839" max="2841"/>
    <col width="10.81640625" customWidth="1" min="2845" max="2845"/>
    <col width="10.81640625" customWidth="1" min="2848" max="2848"/>
    <col width="10.81640625" customWidth="1" min="2853" max="2853"/>
    <col width="10.81640625" customWidth="1" min="2856" max="2861"/>
    <col width="10.81640625" customWidth="1" min="2863" max="2864"/>
    <col width="10.81640625" customWidth="1" min="2866" max="2866"/>
    <col width="10.81640625" customWidth="1" min="2869" max="2869"/>
    <col width="10.81640625" customWidth="1" min="2872" max="2872"/>
    <col width="10.81640625" customWidth="1" min="2874" max="2877"/>
    <col width="10.81640625" customWidth="1" min="2880" max="2884"/>
    <col width="10.81640625" customWidth="1" min="2888" max="2892"/>
    <col width="10.81640625" customWidth="1" min="2896" max="2896"/>
    <col width="10.81640625" customWidth="1" min="2898" max="2899"/>
    <col width="10.81640625" customWidth="1" min="2901" max="2901"/>
    <col width="10.81640625" customWidth="1" min="2904" max="2905"/>
    <col width="10.81640625" customWidth="1" min="2909" max="2909"/>
    <col width="10.81640625" customWidth="1" min="2912" max="2912"/>
    <col width="10.81640625" customWidth="1" min="2916" max="2917"/>
    <col width="10.81640625" customWidth="1" min="2920" max="2925"/>
    <col width="10.81640625" customWidth="1" min="2927" max="2929"/>
    <col width="10.81640625" customWidth="1" min="2932" max="2933"/>
    <col width="10.81640625" customWidth="1" min="2936" max="2936"/>
    <col width="10.81640625" customWidth="1" min="2941" max="2941"/>
    <col width="10.81640625" customWidth="1" min="2944" max="2945"/>
    <col width="10.81640625" customWidth="1" min="2947" max="2948"/>
    <col width="10.81640625" customWidth="1" min="2952" max="2957"/>
    <col width="10.81640625" customWidth="1" min="2959" max="2960"/>
    <col width="10.81640625" customWidth="1" min="2962" max="2965"/>
    <col width="10.81640625" customWidth="1" min="2968" max="2973"/>
    <col width="10.81640625" customWidth="1" min="2975" max="2976"/>
    <col width="10.81640625" customWidth="1" min="2980" max="2981"/>
    <col width="10.81640625" customWidth="1" min="2984" max="2984"/>
    <col width="10.81640625" customWidth="1" min="2986" max="2987"/>
    <col width="10.81640625" customWidth="1" min="2989" max="2989"/>
    <col width="10.81640625" customWidth="1" min="2992" max="2993"/>
    <col width="10.81640625" customWidth="1" min="2996" max="2996"/>
    <col width="10.81640625" customWidth="1" min="3000" max="3000"/>
    <col width="10.81640625" customWidth="1" min="3002" max="3002"/>
    <col width="10.81640625" customWidth="1" min="3004" max="3005"/>
    <col width="10.81640625" customWidth="1" min="3008" max="3009"/>
    <col width="10.81640625" customWidth="1" min="3013" max="3013"/>
    <col width="10.81640625" customWidth="1" min="3016" max="3021"/>
    <col width="10.81640625" customWidth="1" min="3023" max="3024"/>
    <col width="10.81640625" customWidth="1" min="3026" max="3026"/>
    <col width="10.81640625" customWidth="1" min="3029" max="3029"/>
    <col width="10.81640625" customWidth="1" min="3032" max="3032"/>
    <col width="10.81640625" customWidth="1" min="3034" max="3034"/>
    <col width="10.81640625" customWidth="1" min="3036" max="3037"/>
    <col width="10.81640625" customWidth="1" min="3040" max="3040"/>
    <col width="10.81640625" customWidth="1" min="3042" max="3045"/>
    <col width="10.81640625" customWidth="1" min="3048" max="3048"/>
    <col width="10.81640625" customWidth="1" min="3051" max="3052"/>
    <col width="10.81640625" customWidth="1" min="3056" max="3056"/>
    <col width="10.81640625" customWidth="1" min="3058" max="3058"/>
    <col width="10.81640625" customWidth="1" min="3060" max="3060"/>
    <col width="10.81640625" customWidth="1" min="3064" max="3065"/>
    <col width="10.81640625" customWidth="1" min="3067" max="3068"/>
    <col width="10.81640625" customWidth="1" min="3072" max="3072"/>
    <col width="10.81640625" customWidth="1" min="3074" max="3074"/>
    <col width="10.81640625" customWidth="1" min="3076" max="3077"/>
    <col width="10.81640625" customWidth="1" min="3080" max="3081"/>
    <col width="10.81640625" customWidth="1" min="3085" max="3085"/>
    <col width="10.81640625" customWidth="1" min="3087" max="3088"/>
    <col width="10.81640625" customWidth="1" min="3090" max="3090"/>
    <col width="10.81640625" customWidth="1" min="3093" max="3096"/>
    <col width="10.81640625" customWidth="1" min="3098" max="3098"/>
    <col width="10.81640625" customWidth="1" min="3101" max="3106"/>
    <col width="10.81640625" customWidth="1" min="3108" max="3109"/>
    <col width="10.81640625" customWidth="1" min="3112" max="3112"/>
    <col width="10.81640625" customWidth="1" min="3114" max="3114"/>
    <col width="10.81640625" customWidth="1" min="3116" max="3117"/>
    <col width="10.81640625" customWidth="1" min="3120" max="3121"/>
    <col width="10.81640625" customWidth="1" min="3124" max="3125"/>
    <col width="10.81640625" customWidth="1" min="3128" max="3128"/>
    <col width="10.81640625" customWidth="1" min="3130" max="3133"/>
    <col width="10.81640625" customWidth="1" min="3136" max="3136"/>
    <col width="10.81640625" customWidth="1" min="3138" max="3138"/>
    <col width="10.81640625" customWidth="1" min="3140" max="3140"/>
    <col width="10.81640625" customWidth="1" min="3144" max="3146"/>
    <col width="10.81640625" customWidth="1" min="3149" max="3149"/>
    <col width="10.81640625" customWidth="1" min="3152" max="3154"/>
    <col width="10.81640625" customWidth="1" min="3156" max="3156"/>
    <col width="10.81640625" customWidth="1" min="3160" max="3160"/>
    <col width="10.81640625" customWidth="1" min="3162" max="3162"/>
    <col width="10.81640625" customWidth="1" min="3167" max="3169"/>
    <col width="10.81640625" customWidth="1" min="3173" max="3173"/>
    <col width="10.81640625" customWidth="1" min="3176" max="3176"/>
    <col width="10.81640625" customWidth="1" min="3178" max="3179"/>
    <col width="10.81640625" customWidth="1" min="3181" max="3181"/>
    <col width="10.81640625" customWidth="1" min="3184" max="3186"/>
    <col width="10.81640625" customWidth="1" min="3189" max="3189"/>
    <col width="10.81640625" customWidth="1" min="3192" max="3192"/>
    <col width="10.81640625" customWidth="1" min="3194" max="3194"/>
    <col width="10.81640625" customWidth="1" min="3197" max="3200"/>
    <col width="10.81640625" customWidth="1" min="3202" max="3202"/>
    <col width="10.81640625" customWidth="1" min="3204" max="3205"/>
    <col width="10.81640625" customWidth="1" min="3208" max="3212"/>
    <col width="10.81640625" customWidth="1" min="3216" max="3217"/>
    <col width="10.81640625" customWidth="1" min="3219" max="3220"/>
    <col width="10.81640625" customWidth="1" min="3224" max="3224"/>
    <col width="10.81640625" customWidth="1" min="3226" max="3226"/>
    <col width="10.81640625" customWidth="1" min="3228" max="3229"/>
    <col width="10.81640625" customWidth="1" min="3232" max="3232"/>
    <col width="10.81640625" customWidth="1" min="3235" max="3236"/>
    <col width="10.81640625" customWidth="1" min="3240" max="3240"/>
    <col width="10.81640625" customWidth="1" min="3242" max="3242"/>
    <col width="10.81640625" customWidth="1" min="3244" max="3245"/>
    <col width="10.81640625" customWidth="1" min="3248" max="3249"/>
    <col width="10.81640625" customWidth="1" min="3253" max="3253"/>
    <col width="10.81640625" customWidth="1" min="3256" max="3258"/>
    <col width="10.81640625" customWidth="1" min="3260" max="3260"/>
    <col width="10.81640625" customWidth="1" min="3264" max="3264"/>
    <col width="10.81640625" customWidth="1" min="3266" max="3269"/>
    <col width="10.81640625" customWidth="1" min="3272" max="3274"/>
    <col width="10.81640625" customWidth="1" min="3276" max="3276"/>
    <col width="10.81640625" customWidth="1" min="3280" max="3280"/>
    <col width="10.81640625" customWidth="1" min="3282" max="3283"/>
    <col width="10.81640625" customWidth="1" min="3285" max="3285"/>
    <col width="10.81640625" customWidth="1" min="3288" max="3289"/>
    <col width="10.81640625" customWidth="1" min="3292" max="3292"/>
    <col width="10.81640625" customWidth="1" min="3296" max="3296"/>
    <col width="10.81640625" customWidth="1" min="3298" max="3298"/>
    <col width="10.81640625" customWidth="1" min="3300" max="3301"/>
    <col width="10.81640625" customWidth="1" min="3304" max="3309"/>
    <col width="10.81640625" customWidth="1" min="3311" max="3313"/>
    <col width="10.81640625" customWidth="1" min="3316" max="3317"/>
    <col width="10.81640625" customWidth="1" min="3320" max="3320"/>
    <col width="10.81640625" customWidth="1" min="3325" max="3325"/>
    <col width="10.81640625" customWidth="1" min="3328" max="3329"/>
    <col width="10.81640625" customWidth="1" min="3331" max="3332"/>
    <col width="10.81640625" customWidth="1" min="3336" max="3341"/>
    <col width="10.81640625" customWidth="1" min="3343" max="3346"/>
    <col width="10.81640625" customWidth="1" min="3348" max="3349"/>
    <col width="10.81640625" customWidth="1" min="3352" max="3352"/>
    <col width="10.81640625" customWidth="1" min="3354" max="3355"/>
    <col width="10.81640625" customWidth="1" min="3357" max="3357"/>
    <col width="10.81640625" customWidth="1" min="3360" max="3361"/>
    <col width="10.81640625" customWidth="1" min="3364" max="3365"/>
    <col width="10.81640625" customWidth="1" min="3368" max="3369"/>
    <col width="10.81640625" customWidth="1" min="3372" max="3373"/>
    <col width="10.81640625" customWidth="1" min="3376" max="3376"/>
    <col width="10.81640625" customWidth="1" min="3378" max="3378"/>
    <col width="10.81640625" customWidth="1" min="3380" max="3381"/>
    <col width="10.81640625" customWidth="1" min="3384" max="3385"/>
    <col width="10.81640625" customWidth="1" min="3387" max="3388"/>
    <col width="10.81640625" customWidth="1" min="3392" max="3392"/>
    <col width="10.81640625" customWidth="1" min="3394" max="3394"/>
    <col width="10.81640625" customWidth="1" min="3396" max="3397"/>
    <col width="10.81640625" customWidth="1" min="3400" max="3401"/>
    <col width="10.81640625" customWidth="1" min="3405" max="3405"/>
    <col width="10.81640625" customWidth="1" min="3408" max="3410"/>
    <col width="10.81640625" customWidth="1" min="3412" max="3412"/>
    <col width="10.81640625" customWidth="1" min="3416" max="3421"/>
    <col width="10.81640625" customWidth="1" min="3423" max="3426"/>
    <col width="10.81640625" customWidth="1" min="3428" max="3428"/>
    <col width="10.81640625" customWidth="1" min="3432" max="3432"/>
    <col width="10.81640625" customWidth="1" min="3434" max="3435"/>
    <col width="10.81640625" customWidth="1" min="3437" max="3437"/>
    <col width="10.81640625" customWidth="1" min="3440" max="3440"/>
    <col width="10.81640625" customWidth="1" min="3442" max="3442"/>
    <col width="10.81640625" customWidth="1" min="3445" max="3445"/>
    <col width="10.81640625" customWidth="1" min="3448" max="3448"/>
    <col width="10.81640625" customWidth="1" min="3450" max="3450"/>
    <col width="10.81640625" customWidth="1" min="3452" max="3453"/>
    <col width="10.81640625" customWidth="1" min="3456" max="3456"/>
    <col width="10.81640625" customWidth="1" min="3459" max="3460"/>
    <col width="10.81640625" customWidth="1" min="3464" max="3466"/>
    <col width="10.81640625" customWidth="1" min="3469" max="3469"/>
    <col width="10.81640625" customWidth="1" min="3471" max="3477"/>
    <col width="10.81640625" customWidth="1" min="3479" max="3480"/>
    <col width="10.81640625" customWidth="1" min="3482" max="3482"/>
    <col width="10.81640625" customWidth="1" min="3484" max="3485"/>
    <col width="10.81640625" customWidth="1" min="3488" max="3489"/>
    <col width="10.81640625" customWidth="1" min="3493" max="3493"/>
    <col width="10.81640625" customWidth="1" min="3495" max="3496"/>
    <col width="10.81640625" customWidth="1" min="3500" max="3501"/>
    <col width="10.81640625" customWidth="1" min="3504" max="3505"/>
    <col width="10.81640625" customWidth="1" min="3509" max="3509"/>
    <col width="10.81640625" customWidth="1" min="3511" max="3517"/>
    <col width="10.81640625" customWidth="1" min="3519" max="3520"/>
    <col width="10.81640625" customWidth="1" min="3525" max="3525"/>
    <col width="10.81640625" customWidth="1" min="3528" max="3529"/>
    <col width="10.81640625" customWidth="1" min="3533" max="3533"/>
    <col width="10.81640625" customWidth="1" min="3536" max="3536"/>
    <col width="10.81640625" customWidth="1" min="3539" max="3541"/>
    <col width="10.81640625" customWidth="1" min="3544" max="3544"/>
    <col width="10.81640625" customWidth="1" min="3546" max="3546"/>
    <col width="10.81640625" customWidth="1" min="3548" max="3549"/>
    <col width="10.81640625" customWidth="1" min="3552" max="3557"/>
    <col width="10.81640625" customWidth="1" min="3559" max="3560"/>
    <col width="10.81640625" customWidth="1" min="3562" max="3565"/>
    <col width="10.81640625" customWidth="1" min="3568" max="3573"/>
    <col width="10.81640625" customWidth="1" min="3575" max="3579"/>
    <col width="10.81640625" customWidth="1" min="3581" max="3581"/>
    <col width="10.81640625" customWidth="1" min="3584" max="3584"/>
    <col width="10.81640625" customWidth="1" min="3586" max="3589"/>
    <col width="10.81640625" customWidth="1" min="3592" max="3593"/>
    <col width="10.81640625" customWidth="1" min="3595" max="3595"/>
    <col width="10.81640625" customWidth="1" min="3600" max="3600"/>
    <col width="10.81640625" customWidth="1" min="3602" max="3605"/>
    <col width="10.81640625" customWidth="1" min="3608" max="3609"/>
    <col width="10.81640625" customWidth="1" min="3611" max="3612"/>
    <col width="10.81640625" customWidth="1" min="3616" max="3618"/>
    <col width="10.81640625" customWidth="1" min="3620" max="3621"/>
    <col width="10.81640625" customWidth="1" min="3624" max="3629"/>
    <col width="10.81640625" customWidth="1" min="3631" max="3632"/>
    <col width="10.81640625" customWidth="1" min="3635" max="3636"/>
    <col width="10.81640625" customWidth="1" min="3640" max="3640"/>
    <col width="10.81640625" customWidth="1" min="3642" max="3642"/>
    <col width="10.81640625" customWidth="1" min="3644" max="3645"/>
    <col width="10.81640625" customWidth="1" min="3648" max="3650"/>
    <col width="10.81640625" customWidth="1" min="3652" max="3652"/>
    <col width="10.81640625" customWidth="1" min="3656" max="3661"/>
    <col width="10.81640625" customWidth="1" min="3663" max="3665"/>
    <col width="10.81640625" customWidth="1" min="3667" max="3668"/>
    <col width="10.81640625" customWidth="1" min="3672" max="3672"/>
    <col width="10.81640625" customWidth="1" min="3674" max="3674"/>
    <col width="10.81640625" customWidth="1" min="3676" max="3677"/>
    <col width="10.81640625" customWidth="1" min="3680" max="3684"/>
    <col width="10.81640625" customWidth="1" min="3688" max="3689"/>
    <col width="10.81640625" customWidth="1" min="3691" max="3692"/>
    <col width="10.81640625" customWidth="1" min="3696" max="3696"/>
    <col width="10.81640625" customWidth="1" min="3698" max="3698"/>
    <col width="10.81640625" customWidth="1" min="3700" max="3701"/>
    <col width="10.81640625" customWidth="1" min="3704" max="3704"/>
    <col width="10.81640625" customWidth="1" min="3707" max="3708"/>
    <col width="10.81640625" customWidth="1" min="3712" max="3712"/>
    <col width="10.81640625" customWidth="1" min="3714" max="3714"/>
    <col width="10.81640625" customWidth="1" min="3716" max="3717"/>
    <col width="10.81640625" customWidth="1" min="3720" max="3721"/>
    <col width="10.81640625" customWidth="1" min="3725" max="3725"/>
    <col width="10.81640625" customWidth="1" min="3728" max="3730"/>
    <col width="10.81640625" customWidth="1" min="3732" max="3732"/>
    <col width="10.81640625" customWidth="1" min="3736" max="3736"/>
    <col width="10.81640625" customWidth="1" min="3738" max="3741"/>
    <col width="10.81640625" customWidth="1" min="3744" max="3746"/>
    <col width="10.81640625" customWidth="1" min="3748" max="3748"/>
    <col width="10.81640625" customWidth="1" min="3752" max="3752"/>
    <col width="10.81640625" customWidth="1" min="3754" max="3755"/>
    <col width="10.81640625" customWidth="1" min="3757" max="3757"/>
    <col width="10.81640625" customWidth="1" min="3760" max="3761"/>
    <col width="10.81640625" customWidth="1" min="3764" max="3764"/>
    <col width="10.81640625" customWidth="1" min="3768" max="3768"/>
    <col width="10.81640625" customWidth="1" min="3770" max="3770"/>
    <col width="10.81640625" customWidth="1" min="3772" max="3773"/>
    <col width="10.81640625" customWidth="1" min="3776" max="3781"/>
    <col width="10.81640625" customWidth="1" min="3783" max="3785"/>
    <col width="10.81640625" customWidth="1" min="3788" max="3789"/>
    <col width="10.81640625" customWidth="1" min="3792" max="3792"/>
    <col width="10.81640625" customWidth="1" min="3797" max="3797"/>
    <col width="10.81640625" customWidth="1" min="3800" max="3801"/>
    <col width="10.81640625" customWidth="1" min="3803" max="3804"/>
    <col width="10.81640625" customWidth="1" min="3808" max="3813"/>
    <col width="10.81640625" customWidth="1" min="3815" max="3818"/>
    <col width="10.81640625" customWidth="1" min="3820" max="3820"/>
    <col width="10.81640625" customWidth="1" min="3824" max="3824"/>
    <col width="10.81640625" customWidth="1" min="3829" max="3829"/>
    <col width="10.81640625" customWidth="1" min="3832" max="3834"/>
    <col width="10.81640625" customWidth="1" min="3836" max="3837"/>
    <col width="10.81640625" customWidth="1" min="3840" max="3840"/>
    <col width="10.81640625" customWidth="1" min="3842" max="3845"/>
    <col width="10.81640625" customWidth="1" min="3848" max="3848"/>
    <col width="10.81640625" customWidth="1" min="3850" max="3851"/>
    <col width="10.81640625" customWidth="1" min="3856" max="3858"/>
    <col width="10.81640625" customWidth="1" min="3861" max="3861"/>
    <col width="10.81640625" customWidth="1" min="3863" max="3869"/>
    <col width="10.81640625" customWidth="1" min="3871" max="3874"/>
    <col width="10.81640625" customWidth="1" min="3876" max="3876"/>
    <col width="10.81640625" customWidth="1" min="3880" max="3883"/>
    <col width="10.81640625" customWidth="1" min="3885" max="3885"/>
    <col width="10.81640625" customWidth="1" min="3888" max="3888"/>
    <col width="10.81640625" customWidth="1" min="3890" max="3890"/>
    <col width="10.81640625" customWidth="1" min="3892" max="3893"/>
    <col width="10.81640625" customWidth="1" min="3896" max="3897"/>
    <col width="10.81640625" customWidth="1" min="3901" max="3901"/>
    <col width="10.81640625" customWidth="1" min="3904" max="3909"/>
    <col width="10.81640625" customWidth="1" min="3911" max="3912"/>
    <col width="10.81640625" customWidth="1" min="3917" max="3917"/>
    <col width="10.81640625" customWidth="1" min="3920" max="3921"/>
    <col width="10.81640625" customWidth="1" min="3925" max="3925"/>
    <col width="10.81640625" customWidth="1" min="3928" max="3928"/>
    <col width="10.81640625" customWidth="1" min="3930" max="3930"/>
    <col width="10.81640625" customWidth="1" min="3932" max="3933"/>
    <col width="10.81640625" customWidth="1" min="3936" max="3941"/>
    <col width="10.81640625" customWidth="1" min="3943" max="3945"/>
    <col width="10.81640625" customWidth="1" min="3948" max="3949"/>
    <col width="10.81640625" customWidth="1" min="3952" max="3952"/>
    <col width="10.81640625" customWidth="1" min="3957" max="3957"/>
    <col width="10.81640625" customWidth="1" min="3960" max="3961"/>
    <col width="10.81640625" customWidth="1" min="3963" max="3964"/>
    <col width="10.81640625" customWidth="1" min="3968" max="3973"/>
    <col width="10.81640625" customWidth="1" min="3975" max="3977"/>
    <col width="10.81640625" customWidth="1" min="3979" max="3980"/>
    <col width="10.81640625" customWidth="1" min="3983" max="3988"/>
    <col width="10.81640625" customWidth="1" min="3991" max="3992"/>
    <col width="10.81640625" customWidth="1" min="3995" max="3996"/>
    <col width="10.81640625" customWidth="1" min="3999" max="4004"/>
    <col width="10.81640625" customWidth="1" min="4007" max="4010"/>
    <col width="10.81640625" customWidth="1" min="4013" max="4013"/>
    <col width="10.81640625" customWidth="1" min="4015" max="4021"/>
    <col width="10.81640625" customWidth="1" min="4023" max="4026"/>
    <col width="10.81640625" customWidth="1" min="4028" max="4028"/>
    <col width="10.81640625" customWidth="1" min="4032" max="4035"/>
    <col width="10.81640625" customWidth="1" min="4037" max="4037"/>
    <col width="10.81640625" customWidth="1" min="4040" max="4040"/>
    <col width="10.81640625" customWidth="1" min="4042" max="4042"/>
    <col width="10.81640625" customWidth="1" min="4044" max="4045"/>
    <col width="10.81640625" customWidth="1" min="4048" max="4053"/>
    <col width="10.81640625" customWidth="1" min="4055" max="4056"/>
    <col width="10.81640625" customWidth="1" min="4058" max="4058"/>
    <col width="10.81640625" customWidth="1" min="4061" max="4061"/>
    <col width="10.81640625" customWidth="1" min="4064" max="4064"/>
    <col width="10.81640625" customWidth="1" min="4066" max="4066"/>
    <col width="10.81640625" customWidth="1" min="4068" max="4069"/>
    <col width="10.81640625" customWidth="1" min="4072" max="4072"/>
    <col width="10.81640625" customWidth="1" min="4074" max="4077"/>
    <col width="10.81640625" customWidth="1" min="4080" max="4080"/>
    <col width="10.81640625" customWidth="1" min="4083" max="4084"/>
    <col width="10.81640625" customWidth="1" min="4088" max="4088"/>
    <col width="10.81640625" customWidth="1" min="4090" max="4090"/>
    <col width="10.81640625" customWidth="1" min="4092" max="4092"/>
    <col width="10.81640625" customWidth="1" min="4096" max="4097"/>
    <col width="10.81640625" customWidth="1" min="4099" max="4100"/>
    <col width="10.81640625" customWidth="1" min="4104" max="4104"/>
    <col width="10.81640625" customWidth="1" min="4106" max="4106"/>
    <col width="10.81640625" customWidth="1" min="4108" max="4109"/>
    <col width="10.81640625" customWidth="1" min="4112" max="4112"/>
    <col width="10.81640625" customWidth="1" min="4114" max="4114"/>
    <col width="10.81640625" customWidth="1" min="4117" max="4117"/>
    <col width="10.81640625" customWidth="1" min="4119" max="4120"/>
    <col width="10.81640625" customWidth="1" min="4123" max="4124"/>
    <col width="10.81640625" customWidth="1" min="4128" max="4132"/>
    <col width="10.81640625" customWidth="1" min="4136" max="4136"/>
    <col width="10.81640625" customWidth="1" min="4138" max="4138"/>
    <col width="10.81640625" customWidth="1" min="4140" max="4141"/>
    <col width="10.81640625" customWidth="1" min="4144" max="4144"/>
    <col width="10.81640625" customWidth="1" min="4147" max="4149"/>
    <col width="10.81640625" customWidth="1" min="4152" max="4152"/>
    <col width="10.81640625" customWidth="1" min="4154" max="4155"/>
    <col width="10.81640625" customWidth="1" min="4157" max="4157"/>
    <col width="10.81640625" customWidth="1" min="4160" max="4161"/>
    <col width="10.81640625" customWidth="1" min="4164" max="4165"/>
    <col width="10.81640625" customWidth="1" min="4168" max="4168"/>
    <col width="10.81640625" customWidth="1" min="4170" max="4171"/>
    <col width="10.81640625" customWidth="1" min="4173" max="4173"/>
    <col width="10.81640625" customWidth="1" min="4176" max="4176"/>
    <col width="10.81640625" customWidth="1" min="4179" max="4181"/>
    <col width="10.81640625" customWidth="1" min="4184" max="4189"/>
    <col width="10.81640625" customWidth="1" min="4191" max="4195"/>
    <col width="10.81640625" customWidth="1" min="4197" max="4197"/>
    <col width="10.81640625" customWidth="1" min="4200" max="4200"/>
    <col width="10.81640625" customWidth="1" min="4202" max="4205"/>
    <col width="10.81640625" customWidth="1" min="4208" max="4209"/>
    <col width="10.81640625" customWidth="1" min="4211" max="4211"/>
    <col width="10.81640625" customWidth="1" min="4216" max="4216"/>
    <col width="10.81640625" customWidth="1" min="4218" max="4221"/>
    <col width="10.81640625" customWidth="1" min="4224" max="4225"/>
    <col width="10.81640625" customWidth="1" min="4227" max="4228"/>
    <col width="10.81640625" customWidth="1" min="4232" max="4234"/>
    <col width="10.81640625" customWidth="1" min="4236" max="4237"/>
    <col width="10.81640625" customWidth="1" min="4240" max="4245"/>
    <col width="10.81640625" customWidth="1" min="4247" max="4248"/>
    <col width="10.81640625" customWidth="1" min="4250" max="4250"/>
    <col width="10.81640625" customWidth="1" min="4252" max="4253"/>
    <col width="10.81640625" customWidth="1" min="4256" max="4257"/>
    <col width="10.81640625" customWidth="1" min="4260" max="4260"/>
    <col width="10.81640625" customWidth="1" min="4264" max="4264"/>
    <col width="10.81640625" customWidth="1" min="4266" max="4266"/>
    <col width="10.81640625" customWidth="1" min="4268" max="4269"/>
    <col width="10.81640625" customWidth="1" min="4272" max="4273"/>
    <col width="10.81640625" customWidth="1" min="4277" max="4277"/>
    <col width="10.81640625" customWidth="1" min="4280" max="4282"/>
    <col width="10.81640625" customWidth="1" min="4284" max="4284"/>
    <col width="10.81640625" customWidth="1" min="4288" max="4293"/>
    <col width="10.81640625" customWidth="1" min="4295" max="4296"/>
    <col width="10.81640625" customWidth="1" min="4299" max="4300"/>
    <col width="10.81640625" customWidth="1" min="4304" max="4304"/>
    <col width="10.81640625" customWidth="1" min="4306" max="4306"/>
    <col width="10.81640625" customWidth="1" min="4308" max="4309"/>
    <col width="10.81640625" customWidth="1" min="4312" max="4314"/>
    <col width="10.81640625" customWidth="1" min="4316" max="4316"/>
    <col width="10.81640625" customWidth="1" min="4320" max="4325"/>
    <col width="10.81640625" customWidth="1" min="4327" max="4328"/>
    <col width="10.81640625" customWidth="1" min="4330" max="4331"/>
    <col width="10.81640625" customWidth="1" min="4333" max="4333"/>
    <col width="10.81640625" customWidth="1" min="4336" max="4336"/>
    <col width="10.81640625" customWidth="1" min="4339" max="4340"/>
    <col width="10.81640625" customWidth="1" min="4344" max="4349"/>
    <col width="10.81640625" customWidth="1" min="4351" max="4354"/>
    <col width="10.81640625" customWidth="1" min="4357" max="4357"/>
    <col width="10.81640625" customWidth="1" min="4360" max="4360"/>
    <col width="10.81640625" customWidth="1" min="4362" max="4363"/>
    <col width="10.81640625" customWidth="1" min="4365" max="4365"/>
    <col width="10.81640625" customWidth="1" min="4368" max="4368"/>
    <col width="10.81640625" customWidth="1" min="4371" max="4371"/>
    <col width="10.81640625" customWidth="1" min="4373" max="4373"/>
    <col width="10.81640625" customWidth="1" min="4376" max="4376"/>
    <col width="10.81640625" customWidth="1" min="4378" max="4378"/>
    <col width="10.81640625" customWidth="1" min="4380" max="4381"/>
    <col width="10.81640625" customWidth="1" min="4384" max="4386"/>
    <col width="10.81640625" customWidth="1" min="4389" max="4389"/>
    <col width="10.81640625" customWidth="1" min="4392" max="4392"/>
    <col width="10.81640625" customWidth="1" min="4394" max="4395"/>
    <col width="10.81640625" customWidth="1" min="4400" max="4405"/>
    <col width="10.81640625" customWidth="1" min="4407" max="4409"/>
    <col width="10.81640625" customWidth="1" min="4413" max="4413"/>
    <col width="10.81640625" customWidth="1" min="4416" max="4416"/>
    <col width="10.81640625" customWidth="1" min="4421" max="4421"/>
    <col width="10.81640625" customWidth="1" min="4424" max="4426"/>
    <col width="10.81640625" customWidth="1" min="4428" max="4428"/>
    <col width="10.81640625" customWidth="1" min="4432" max="4437"/>
    <col width="10.81640625" customWidth="1" min="4439" max="4442"/>
    <col width="10.81640625" customWidth="1" min="4444" max="4444"/>
    <col width="10.81640625" customWidth="1" min="4448" max="4448"/>
    <col width="10.81640625" customWidth="1" min="4453" max="4453"/>
    <col width="10.81640625" customWidth="1" min="4456" max="4461"/>
    <col width="10.81640625" customWidth="1" min="4463" max="4465"/>
    <col width="10.81640625" customWidth="1" min="4467" max="4469"/>
    <col width="10.81640625" customWidth="1" min="4472" max="4472"/>
    <col width="10.81640625" customWidth="1" min="4474" max="4474"/>
    <col width="10.81640625" customWidth="1" min="4476" max="4477"/>
    <col width="10.81640625" customWidth="1" min="4480" max="4485"/>
    <col width="10.81640625" customWidth="1" min="4487" max="4490"/>
    <col width="10.81640625" customWidth="1" min="4492" max="4492"/>
    <col width="10.81640625" customWidth="1" min="4496" max="4499"/>
    <col width="10.81640625" customWidth="1" min="4501" max="4501"/>
    <col width="10.81640625" customWidth="1" min="4504" max="4504"/>
    <col width="10.81640625" customWidth="1" min="4506" max="4506"/>
    <col width="10.81640625" customWidth="1" min="4508" max="4509"/>
    <col width="10.81640625" customWidth="1" min="4512" max="4517"/>
    <col width="10.81640625" customWidth="1" min="4519" max="4520"/>
    <col width="10.81640625" customWidth="1" min="4523" max="4524"/>
    <col width="10.81640625" customWidth="1" min="4528" max="4528"/>
    <col width="10.81640625" customWidth="1" min="4530" max="4533"/>
    <col width="10.81640625" customWidth="1" min="4536" max="4536"/>
    <col width="10.81640625" customWidth="1" min="4538" max="4538"/>
    <col width="10.81640625" customWidth="1" min="4541" max="4541"/>
    <col width="10.81640625" customWidth="1" min="4544" max="4544"/>
    <col width="10.81640625" customWidth="1" min="4546" max="4546"/>
    <col width="10.81640625" customWidth="1" min="4548" max="4549"/>
    <col width="10.81640625" customWidth="1" min="4552" max="4553"/>
    <col width="10.81640625" customWidth="1" min="4557" max="4557"/>
    <col width="10.81640625" customWidth="1" min="4559" max="4565"/>
    <col width="10.81640625" customWidth="1" min="4567" max="4569"/>
    <col width="10.81640625" customWidth="1" min="4571" max="4574"/>
    <col width="10.81640625" customWidth="1" min="4576" max="4576"/>
    <col width="10.81640625" customWidth="1" min="4578" max="4578"/>
    <col width="10.81640625" customWidth="1" min="4580" max="4580"/>
    <col width="10.81640625" customWidth="1" min="4584" max="4586"/>
    <col width="10.81640625" customWidth="1" min="4588" max="4588"/>
    <col width="10.81640625" customWidth="1" min="4592" max="4597"/>
    <col width="10.81640625" customWidth="1" min="4599" max="4600"/>
    <col width="10.81640625" customWidth="1" min="4602" max="4602"/>
    <col width="10.81640625" customWidth="1" min="4604" max="4604"/>
    <col width="10.81640625" customWidth="1" min="4608" max="4608"/>
    <col width="10.81640625" customWidth="1" min="4611" max="4612"/>
    <col width="10.81640625" customWidth="1" min="4616" max="4616"/>
    <col width="10.81640625" customWidth="1" min="4618" max="4618"/>
    <col width="10.81640625" customWidth="1" min="4620" max="4620"/>
    <col width="10.81640625" customWidth="1" min="4624" max="4624"/>
    <col width="10.81640625" customWidth="1" min="4626" max="4629"/>
    <col width="10.81640625" customWidth="1" min="4632" max="4634"/>
    <col width="10.81640625" customWidth="1" min="4637" max="4637"/>
    <col width="10.81640625" customWidth="1" min="4640" max="4642"/>
    <col width="10.81640625" customWidth="1" min="4645" max="4645"/>
    <col width="10.81640625" customWidth="1" min="4648" max="4648"/>
    <col width="10.81640625" customWidth="1" min="4650" max="4651"/>
    <col width="10.81640625" customWidth="1" min="4656" max="4658"/>
    <col width="10.81640625" customWidth="1" min="4661" max="4661"/>
    <col width="10.81640625" customWidth="1" min="4663" max="4669"/>
    <col width="10.81640625" customWidth="1" min="4671" max="4674"/>
    <col width="10.81640625" customWidth="1" min="4676" max="4676"/>
    <col width="10.81640625" customWidth="1" min="4680" max="4683"/>
    <col width="10.81640625" customWidth="1" min="4685" max="4685"/>
    <col width="10.81640625" customWidth="1" min="4688" max="4688"/>
    <col width="10.81640625" customWidth="1" min="4690" max="4690"/>
    <col width="10.81640625" customWidth="1" min="4692" max="4693"/>
    <col width="10.81640625" customWidth="1" min="4696" max="4701"/>
    <col width="10.81640625" customWidth="1" min="4703" max="4704"/>
    <col width="10.81640625" customWidth="1" min="4706" max="4706"/>
    <col width="10.81640625" customWidth="1" min="4708" max="4709"/>
    <col width="10.81640625" customWidth="1" min="4712" max="4713"/>
    <col width="10.81640625" customWidth="1" min="4717" max="4717"/>
    <col width="10.81640625" customWidth="1" min="4720" max="4722"/>
    <col width="10.81640625" customWidth="1" min="4724" max="4724"/>
    <col width="10.81640625" customWidth="1" min="4728" max="4728"/>
    <col width="10.81640625" customWidth="1" min="4730" max="4731"/>
    <col width="10.81640625" customWidth="1" min="4733" max="4733"/>
    <col width="10.81640625" customWidth="1" min="4736" max="4738"/>
    <col width="10.81640625" customWidth="1" min="4740" max="4740"/>
    <col width="10.81640625" customWidth="1" min="4744" max="4744"/>
    <col width="10.81640625" customWidth="1" min="4746" max="4747"/>
    <col width="10.81640625" customWidth="1" min="4752" max="4757"/>
    <col width="10.81640625" customWidth="1" min="4759" max="4761"/>
    <col width="10.81640625" customWidth="1" min="4764" max="4765"/>
    <col width="10.81640625" customWidth="1" min="4768" max="4768"/>
    <col width="10.81640625" customWidth="1" min="4770" max="4771"/>
    <col width="10.81640625" customWidth="1" min="4773" max="4773"/>
    <col width="10.81640625" customWidth="1" min="4776" max="4778"/>
    <col width="10.81640625" customWidth="1" min="4781" max="4781"/>
    <col width="10.81640625" customWidth="1" min="4784" max="4784"/>
    <col width="10.81640625" customWidth="1" min="4786" max="4786"/>
    <col width="10.81640625" customWidth="1" min="4788" max="4789"/>
    <col width="10.81640625" customWidth="1" min="4792" max="4797"/>
    <col width="10.81640625" customWidth="1" min="4799" max="4800"/>
    <col width="10.81640625" customWidth="1" min="4802" max="4803"/>
    <col width="10.81640625" customWidth="1" min="4805" max="4805"/>
    <col width="10.81640625" customWidth="1" min="4808" max="4808"/>
    <col width="10.81640625" customWidth="1" min="4811" max="4812"/>
    <col width="10.81640625" customWidth="1" min="4816" max="4821"/>
    <col width="10.81640625" customWidth="1" min="4823" max="4825"/>
    <col width="10.81640625" customWidth="1" min="4828" max="4829"/>
    <col width="10.81640625" customWidth="1" min="4832" max="4832"/>
    <col width="10.81640625" customWidth="1" min="4837" max="4837"/>
    <col width="10.81640625" customWidth="1" min="4840" max="4841"/>
    <col width="10.81640625" customWidth="1" min="4843" max="4844"/>
    <col width="10.81640625" customWidth="1" min="4848" max="4853"/>
    <col width="10.81640625" customWidth="1" min="4855" max="4856"/>
    <col width="10.81640625" customWidth="1" min="4858" max="4861"/>
    <col width="10.81640625" customWidth="1" min="4864" max="4869"/>
    <col width="10.81640625" customWidth="1" min="4871" max="4872"/>
    <col width="10.81640625" customWidth="1" min="4875" max="4876"/>
    <col width="10.81640625" customWidth="1" min="4880" max="4884"/>
    <col width="10.81640625" customWidth="1" min="4888" max="4888"/>
    <col width="10.81640625" customWidth="1" min="4890" max="4890"/>
    <col width="10.81640625" customWidth="1" min="4892" max="4893"/>
    <col width="10.81640625" customWidth="1" min="4896" max="4896"/>
    <col width="10.81640625" customWidth="1" min="4899" max="4901"/>
    <col width="10.81640625" customWidth="1" min="4904" max="4904"/>
    <col width="10.81640625" customWidth="1" min="4906" max="4907"/>
    <col width="10.81640625" customWidth="1" min="4909" max="4909"/>
    <col width="10.81640625" customWidth="1" min="4912" max="4913"/>
    <col width="10.81640625" customWidth="1" min="4916" max="4917"/>
    <col width="10.81640625" customWidth="1" min="4920" max="4920"/>
    <col width="10.81640625" customWidth="1" min="4922" max="4923"/>
    <col width="10.81640625" customWidth="1" min="4925" max="4925"/>
    <col width="10.81640625" customWidth="1" min="4928" max="4928"/>
    <col width="10.81640625" customWidth="1" min="4931" max="4933"/>
    <col width="10.81640625" customWidth="1" min="4936" max="4941"/>
    <col width="10.81640625" customWidth="1" min="4943" max="4946"/>
    <col width="10.81640625" customWidth="1" min="4948" max="4948"/>
    <col width="10.81640625" customWidth="1" min="4952" max="4952"/>
    <col width="10.81640625" customWidth="1" min="4954" max="4955"/>
    <col width="10.81640625" customWidth="1" min="4957" max="4957"/>
    <col width="10.81640625" customWidth="1" min="4960" max="4960"/>
    <col width="10.81640625" customWidth="1" min="4962" max="4962"/>
    <col width="10.81640625" customWidth="1" min="4965" max="4965"/>
    <col width="10.81640625" customWidth="1" min="4968" max="4968"/>
    <col width="10.81640625" customWidth="1" min="4970" max="4970"/>
    <col width="10.81640625" customWidth="1" min="4972" max="4973"/>
    <col width="10.81640625" customWidth="1" min="4976" max="4981"/>
    <col width="10.81640625" customWidth="1" min="4983" max="4987"/>
    <col width="10.81640625" customWidth="1" min="4989" max="4989"/>
    <col width="10.81640625" customWidth="1" min="4991" max="4992"/>
    <col width="10.81640625" customWidth="1" min="4994" max="4994"/>
    <col width="10.81640625" customWidth="1" min="4996" max="4997"/>
    <col width="10.81640625" customWidth="1" min="5000" max="5001"/>
    <col width="10.81640625" customWidth="1" min="5005" max="5005"/>
    <col width="10.81640625" customWidth="1" min="5007" max="5008"/>
    <col width="10.81640625" customWidth="1" min="5012" max="5013"/>
    <col width="10.81640625" customWidth="1" min="5016" max="5017"/>
    <col width="10.81640625" customWidth="1" min="5021" max="5021"/>
    <col width="10.81640625" customWidth="1" min="5023" max="5029"/>
    <col width="10.81640625" customWidth="1" min="5031" max="5033"/>
    <col width="10.81640625" customWidth="1" min="5035" max="5036"/>
    <col width="10.81640625" customWidth="1" min="5039" max="5044"/>
    <col width="10.81640625" customWidth="1" min="5047" max="5048"/>
    <col width="10.81640625" customWidth="1" min="5051" max="5052"/>
    <col width="10.81640625" customWidth="1" min="5055" max="5060"/>
    <col width="10.81640625" customWidth="1" min="5063" max="5064"/>
    <col width="10.81640625" customWidth="1" min="5066" max="5067"/>
    <col width="10.81640625" customWidth="1" min="5069" max="5069"/>
    <col width="10.81640625" customWidth="1" min="5071" max="5074"/>
    <col width="10.81640625" customWidth="1" min="5077" max="5077"/>
    <col width="10.81640625" customWidth="1" min="5079" max="5085"/>
    <col width="10.81640625" customWidth="1" min="5087" max="5088"/>
    <col width="10.81640625" customWidth="1" min="5090" max="5093"/>
    <col width="10.81640625" customWidth="1" min="5096" max="5097"/>
    <col width="10.81640625" customWidth="1" min="5101" max="5101"/>
    <col width="10.81640625" customWidth="1" min="5104" max="5106"/>
    <col width="10.81640625" customWidth="1" min="5108" max="5109"/>
    <col width="10.81640625" customWidth="1" min="5112" max="5117"/>
    <col width="10.81640625" customWidth="1" min="5119" max="5120"/>
    <col width="10.81640625" customWidth="1" min="5123" max="5124"/>
    <col width="10.81640625" customWidth="1" min="5128" max="5128"/>
    <col width="10.81640625" customWidth="1" min="5133" max="5133"/>
    <col width="10.81640625" customWidth="1" min="5136" max="5141"/>
    <col width="10.81640625" customWidth="1" min="5143" max="5144"/>
    <col width="10.81640625" customWidth="1" min="5148" max="5148"/>
    <col width="10.81640625" customWidth="1" min="5152" max="5152"/>
    <col width="10.81640625" customWidth="1" min="5154" max="5155"/>
    <col width="10.81640625" customWidth="1" min="5157" max="5157"/>
    <col width="10.81640625" customWidth="1" min="5160" max="5162"/>
    <col width="10.81640625" customWidth="1" min="5165" max="5165"/>
    <col width="10.81640625" customWidth="1" min="5168" max="5170"/>
    <col width="10.81640625" customWidth="1" min="5173" max="5173"/>
    <col width="10.81640625" customWidth="1" min="5176" max="5181"/>
    <col width="10.81640625" customWidth="1" min="5183" max="5185"/>
    <col width="10.81640625" customWidth="1" min="5187" max="5189"/>
    <col width="10.81640625" customWidth="1" min="5192" max="5192"/>
    <col width="10.81640625" customWidth="1" min="5194" max="5194"/>
    <col width="10.81640625" customWidth="1" min="5196" max="5197"/>
    <col width="10.81640625" customWidth="1" min="5200" max="5205"/>
    <col width="10.81640625" customWidth="1" min="5207" max="5210"/>
    <col width="10.81640625" customWidth="1" min="5212" max="5212"/>
    <col width="10.81640625" customWidth="1" min="5216" max="5219"/>
    <col width="10.81640625" customWidth="1" min="5221" max="5221"/>
    <col width="10.81640625" customWidth="1" min="5224" max="5224"/>
    <col width="10.81640625" customWidth="1" min="5226" max="5226"/>
    <col width="10.81640625" customWidth="1" min="5228" max="5229"/>
    <col width="10.81640625" customWidth="1" min="5232" max="5237"/>
    <col width="10.81640625" customWidth="1" min="5239" max="5240"/>
    <col width="10.81640625" customWidth="1" min="5242" max="5242"/>
    <col width="10.81640625" customWidth="1" min="5245" max="5245"/>
    <col width="10.81640625" customWidth="1" min="5248" max="5248"/>
    <col width="10.81640625" customWidth="1" min="5250" max="5250"/>
    <col width="10.81640625" customWidth="1" min="5252" max="5253"/>
    <col width="10.81640625" customWidth="1" min="5256" max="5256"/>
    <col width="10.81640625" customWidth="1" min="5258" max="5261"/>
    <col width="10.81640625" customWidth="1" min="5264" max="5264"/>
    <col width="10.81640625" customWidth="1" min="5267" max="5268"/>
    <col width="10.81640625" customWidth="1" min="5272" max="5272"/>
    <col width="10.81640625" customWidth="1" min="5274" max="5274"/>
    <col width="10.81640625" customWidth="1" min="5276" max="5276"/>
    <col width="10.81640625" customWidth="1" min="5280" max="5281"/>
    <col width="10.81640625" customWidth="1" min="5283" max="5284"/>
    <col width="10.81640625" customWidth="1" min="5288" max="5288"/>
    <col width="10.81640625" customWidth="1" min="5290" max="5290"/>
    <col width="10.81640625" customWidth="1" min="5292" max="5293"/>
    <col width="10.81640625" customWidth="1" min="5296" max="5296"/>
    <col width="10.81640625" customWidth="1" min="5298" max="5298"/>
    <col width="10.81640625" customWidth="1" min="5301" max="5301"/>
    <col width="10.81640625" customWidth="1" min="5303" max="5304"/>
    <col width="10.81640625" customWidth="1" min="5307" max="5308"/>
    <col width="10.81640625" customWidth="1" min="5312" max="5316"/>
    <col width="10.81640625" customWidth="1" min="5320" max="5320"/>
    <col width="10.81640625" customWidth="1" min="5322" max="5322"/>
    <col width="10.81640625" customWidth="1" min="5324" max="5325"/>
    <col width="10.81640625" customWidth="1" min="5328" max="5328"/>
    <col width="10.81640625" customWidth="1" min="5331" max="5333"/>
    <col width="10.81640625" customWidth="1" min="5336" max="5336"/>
    <col width="10.81640625" customWidth="1" min="5338" max="5339"/>
    <col width="10.81640625" customWidth="1" min="5341" max="5341"/>
    <col width="10.81640625" customWidth="1" min="5344" max="5345"/>
    <col width="10.81640625" customWidth="1" min="5348" max="5349"/>
    <col width="10.81640625" customWidth="1" min="5352" max="5352"/>
    <col width="10.81640625" customWidth="1" min="5354" max="5355"/>
    <col width="10.81640625" customWidth="1" min="5357" max="5357"/>
    <col width="10.81640625" customWidth="1" min="5360" max="5360"/>
    <col width="10.81640625" customWidth="1" min="5363" max="5365"/>
    <col width="10.81640625" customWidth="1" min="5368" max="5373"/>
    <col width="10.81640625" customWidth="1" min="5375" max="5379"/>
    <col width="10.81640625" customWidth="1" min="5381" max="5381"/>
    <col width="10.81640625" customWidth="1" min="5384" max="5384"/>
    <col width="10.81640625" customWidth="1" min="5386" max="5389"/>
    <col width="10.81640625" customWidth="1" min="5392" max="5393"/>
    <col width="10.81640625" customWidth="1" min="5395" max="5395"/>
    <col width="10.81640625" customWidth="1" min="5400" max="5400"/>
    <col width="10.81640625" customWidth="1" min="5402" max="5405"/>
    <col width="10.81640625" customWidth="1" min="5408" max="5409"/>
    <col width="10.81640625" customWidth="1" min="5411" max="5412"/>
    <col width="10.81640625" customWidth="1" min="5416" max="5418"/>
    <col width="10.81640625" customWidth="1" min="5420" max="5421"/>
    <col width="10.81640625" customWidth="1" min="5424" max="5429"/>
    <col width="10.81640625" customWidth="1" min="5431" max="5432"/>
    <col width="10.81640625" customWidth="1" min="5434" max="5434"/>
    <col width="10.81640625" customWidth="1" min="5436" max="5437"/>
    <col width="10.81640625" customWidth="1" min="5440" max="5441"/>
    <col width="10.81640625" customWidth="1" min="5444" max="5444"/>
    <col width="10.81640625" customWidth="1" min="5448" max="5448"/>
    <col width="10.81640625" customWidth="1" min="5450" max="5450"/>
    <col width="10.81640625" customWidth="1" min="5452" max="5453"/>
    <col width="10.81640625" customWidth="1" min="5456" max="5457"/>
    <col width="10.81640625" customWidth="1" min="5461" max="5461"/>
    <col width="10.81640625" customWidth="1" min="5464" max="5466"/>
    <col width="10.81640625" customWidth="1" min="5468" max="5468"/>
    <col width="10.81640625" customWidth="1" min="5472" max="5477"/>
    <col width="10.81640625" customWidth="1" min="5479" max="5480"/>
    <col width="10.81640625" customWidth="1" min="5483" max="5484"/>
    <col width="10.81640625" customWidth="1" min="5488" max="5488"/>
    <col width="10.81640625" customWidth="1" min="5490" max="5490"/>
    <col width="10.81640625" customWidth="1" min="5492" max="5493"/>
    <col width="10.81640625" customWidth="1" min="5496" max="5498"/>
    <col width="10.81640625" customWidth="1" min="5500" max="5500"/>
    <col width="10.81640625" customWidth="1" min="5504" max="5509"/>
    <col width="10.81640625" customWidth="1" min="5511" max="5512"/>
    <col width="10.81640625" customWidth="1" min="5515" max="5516"/>
    <col width="10.81640625" customWidth="1" min="5520" max="5524"/>
    <col width="10.81640625" customWidth="1" min="5528" max="5528"/>
    <col width="10.81640625" customWidth="1" min="5530" max="5530"/>
    <col width="10.81640625" customWidth="1" min="5532" max="5533"/>
    <col width="10.81640625" customWidth="1" min="5536" max="5536"/>
    <col width="10.81640625" customWidth="1" min="5539" max="5541"/>
    <col width="10.81640625" customWidth="1" min="5544" max="5544"/>
    <col width="10.81640625" customWidth="1" min="5546" max="5547"/>
    <col width="10.81640625" customWidth="1" min="5549" max="5549"/>
    <col width="10.81640625" customWidth="1" min="5552" max="5553"/>
    <col width="10.81640625" customWidth="1" min="5556" max="5557"/>
    <col width="10.81640625" customWidth="1" min="5560" max="5560"/>
    <col width="10.81640625" customWidth="1" min="5562" max="5563"/>
    <col width="10.81640625" customWidth="1" min="5565" max="5565"/>
    <col width="10.81640625" customWidth="1" min="5568" max="5568"/>
    <col width="10.81640625" customWidth="1" min="5570" max="5570"/>
    <col width="10.81640625" customWidth="1" min="5572" max="5573"/>
    <col width="10.81640625" customWidth="1" min="5576" max="5578"/>
    <col width="10.81640625" customWidth="1" min="5580" max="5581"/>
    <col width="10.81640625" customWidth="1" min="5584" max="5589"/>
    <col width="10.81640625" customWidth="1" min="5591" max="5592"/>
    <col width="10.81640625" customWidth="1" min="5596" max="5596"/>
    <col width="10.81640625" customWidth="1" min="5600" max="5600"/>
    <col width="10.81640625" customWidth="1" min="5602" max="5603"/>
    <col width="10.81640625" customWidth="1" min="5605" max="5605"/>
    <col width="10.81640625" customWidth="1" min="5608" max="5610"/>
    <col width="10.81640625" customWidth="1" min="5612" max="5612"/>
    <col width="10.81640625" customWidth="1" min="5616" max="5619"/>
    <col width="10.81640625" customWidth="1" min="5621" max="5621"/>
    <col width="10.81640625" customWidth="1" min="5624" max="5624"/>
    <col width="10.81640625" customWidth="1" min="5626" max="5627"/>
    <col width="10.81640625" customWidth="1" min="5629" max="5629"/>
    <col width="10.81640625" customWidth="1" min="5632" max="5633"/>
    <col width="10.81640625" customWidth="1" min="5637" max="5637"/>
    <col width="10.81640625" customWidth="1" min="5640" max="5641"/>
    <col width="10.81640625" customWidth="1" min="5645" max="5645"/>
    <col width="10.81640625" customWidth="1" min="5647" max="5648"/>
    <col width="10.81640625" customWidth="1" min="5650" max="5650"/>
    <col width="10.81640625" customWidth="1" min="5653" max="5656"/>
    <col width="10.81640625" customWidth="1" min="5658" max="5658"/>
    <col width="10.81640625" customWidth="1" min="5661" max="5664"/>
    <col width="10.81640625" customWidth="1" min="5666" max="5669"/>
    <col width="10.81640625" customWidth="1" min="5672" max="5680"/>
    <col width="10.81640625" customWidth="1" min="5686" max="5686"/>
    <col width="10.81640625" customWidth="1" min="5688" max="5698"/>
    <col width="10.81640625" customWidth="1" min="5700" max="5701"/>
    <col width="10.81640625" customWidth="1" min="5704" max="5712"/>
    <col width="10.81640625" customWidth="1" min="5714" max="5717"/>
    <col width="10.81640625" customWidth="1" min="5720" max="5730"/>
    <col width="10.81640625" customWidth="1" min="5732" max="5732"/>
    <col width="10.81640625" customWidth="1" min="5736" max="5744"/>
    <col width="10.81640625" customWidth="1" min="5746" max="5749"/>
    <col width="10.81640625" customWidth="1" min="5752" max="5760"/>
    <col width="10.81640625" customWidth="1" min="5765" max="5765"/>
    <col width="10.81640625" customWidth="1" min="5767" max="5776"/>
    <col width="10.81640625" customWidth="1" min="5778" max="5778"/>
    <col width="10.81640625" customWidth="1" min="5780" max="5781"/>
    <col width="10.81640625" customWidth="1" min="5784" max="5793"/>
    <col width="10.81640625" customWidth="1" min="5797" max="5797"/>
    <col width="10.81640625" customWidth="1" min="5800" max="5816"/>
    <col width="10.81640625" customWidth="1" min="5818" max="5818"/>
    <col width="10.81640625" customWidth="1" min="5820" max="5820"/>
    <col width="10.81640625" customWidth="1" min="5822" max="5823"/>
    <col width="10.81640625" customWidth="1" min="5826" max="5826"/>
    <col width="10.81640625" customWidth="1" min="5828" max="5829"/>
    <col width="10.81640625" customWidth="1" min="5831" max="5831"/>
    <col width="10.81640625" customWidth="1" min="5833" max="5834"/>
    <col width="10.81640625" customWidth="1" min="5836" max="5836"/>
    <col width="10.81640625" customWidth="1" min="5842" max="5843"/>
    <col width="10.81640625" customWidth="1" min="5847" max="5847"/>
    <col width="10.81640625" customWidth="1" min="5856" max="5937"/>
    <col width="10.81640625" customWidth="1" min="5941" max="5941"/>
    <col width="10.81640625" customWidth="1" min="5944" max="5954"/>
    <col width="10.81640625" customWidth="1" min="5956" max="5956"/>
    <col width="10.81640625" customWidth="1" min="5960" max="5968"/>
    <col width="10.81640625" customWidth="1" min="5970" max="5971"/>
    <col width="10.81640625" customWidth="1" min="5973" max="5973"/>
    <col width="10.81640625" customWidth="1" min="5976" max="5986"/>
    <col width="10.81640625" customWidth="1" min="5988" max="5988"/>
    <col width="10.81640625" customWidth="1" min="5992" max="5995"/>
    <col width="10.81640625" customWidth="1" min="5998" max="5998"/>
    <col width="10.81640625" customWidth="1" min="6000" max="6004"/>
    <col width="10.81640625" customWidth="1" min="6006" max="6006"/>
    <col width="10.81640625" customWidth="1" min="6008" max="6008"/>
    <col width="10.81640625" customWidth="1" min="6012" max="6012"/>
    <col width="10.81640625" customWidth="1" min="6015" max="6016"/>
    <col width="10.81640625" customWidth="1" min="6018" max="6018"/>
    <col width="10.81640625" customWidth="1" min="6021" max="6022"/>
    <col width="10.81640625" customWidth="1" min="6029" max="6030"/>
    <col width="10.81640625" customWidth="1" min="6032" max="6032"/>
    <col width="10.81640625" customWidth="1" min="6048" max="6064"/>
    <col width="10.81640625" customWidth="1" min="6066" max="6066"/>
    <col width="10.81640625" customWidth="1" min="6068" max="6256"/>
    <col width="10.81640625" customWidth="1" min="6258" max="6320"/>
    <col width="10.81640625" customWidth="1" min="6322" max="6391"/>
    <col width="10.81640625" customWidth="1" min="6393" max="6448"/>
    <col width="10.81640625" customWidth="1" min="6451" max="6647"/>
    <col width="10.81640625" customWidth="1" min="6649" max="6704"/>
    <col width="10.81640625" customWidth="1" min="6707" max="6823"/>
    <col width="10.81640625" customWidth="1" min="6833" max="6901"/>
    <col width="10.81640625" customWidth="1" min="6903" max="6932"/>
    <col width="10.81640625" customWidth="1" min="6935" max="6964"/>
    <col width="10.81640625" customWidth="1" min="6967" max="6967"/>
    <col width="10.81640625" customWidth="1" min="6971" max="6971"/>
    <col width="10.81640625" customWidth="1" min="6975" max="6976"/>
    <col width="10.81640625" customWidth="1" min="6978" max="6978"/>
    <col width="10.81640625" customWidth="1" min="6981" max="6982"/>
    <col width="10.81640625" customWidth="1" min="6989" max="6990"/>
    <col width="10.81640625" customWidth="1" min="6992" max="6992"/>
    <col width="10.81640625" customWidth="1" min="7008" max="7030"/>
    <col width="10.81640625" customWidth="1" min="7033" max="7033"/>
    <col width="10.81640625" customWidth="1" min="7035" max="7035"/>
    <col width="10.81640625" customWidth="1" min="7039" max="7040"/>
    <col width="10.81640625" customWidth="1" min="7042" max="7042"/>
    <col width="10.81640625" customWidth="1" min="7045" max="7046"/>
    <col width="10.81640625" customWidth="1" min="7053" max="7054"/>
    <col width="10.81640625" customWidth="1" min="7056" max="7056"/>
    <col width="10.81640625" customWidth="1" min="7072" max="7088"/>
    <col width="10.81640625" customWidth="1" min="7090" max="7090"/>
    <col width="10.81640625" customWidth="1" min="7093" max="7093"/>
    <col width="10.81640625" customWidth="1" min="7095" max="7096"/>
    <col width="10.81640625" customWidth="1" min="7100" max="7103"/>
    <col width="10.81640625" customWidth="1" min="7106" max="7106"/>
    <col width="10.81640625" customWidth="1" min="7110" max="7110"/>
    <col width="10.81640625" customWidth="1" min="7114" max="7115"/>
    <col width="10.81640625" customWidth="1" min="7118" max="7119"/>
    <col width="10.81640625" customWidth="1" min="7136" max="7157"/>
    <col width="10.81640625" customWidth="1" min="7159" max="7188"/>
    <col width="10.81640625" customWidth="1" min="7191" max="7220"/>
    <col width="10.81640625" customWidth="1" min="7222" max="7222"/>
    <col width="10.81640625" customWidth="1" min="7227" max="7227"/>
    <col width="10.81640625" customWidth="1" min="7231" max="7232"/>
    <col width="10.81640625" customWidth="1" min="7234" max="7234"/>
    <col width="10.81640625" customWidth="1" min="7237" max="7238"/>
    <col width="10.81640625" customWidth="1" min="7245" max="7246"/>
    <col width="10.81640625" customWidth="1" min="7248" max="7248"/>
    <col width="10.81640625" customWidth="1" min="7264" max="7285"/>
    <col width="10.81640625" customWidth="1" min="7289" max="7289"/>
    <col width="10.81640625" customWidth="1" min="7291" max="7291"/>
    <col width="10.81640625" customWidth="1" min="7295" max="7296"/>
    <col width="10.81640625" customWidth="1" min="7298" max="7298"/>
    <col width="10.81640625" customWidth="1" min="7301" max="7302"/>
    <col width="10.81640625" customWidth="1" min="7309" max="7310"/>
    <col width="10.81640625" customWidth="1" min="7312" max="7312"/>
    <col width="10.81640625" customWidth="1" min="7328" max="7353"/>
    <col width="10.81640625" customWidth="1" min="7355" max="7355"/>
    <col width="10.81640625" customWidth="1" min="7358" max="7359"/>
    <col width="10.81640625" customWidth="1" min="7361" max="7361"/>
    <col width="10.81640625" customWidth="1" min="7365" max="7365"/>
    <col width="10.81640625" customWidth="1" min="7367" max="7368"/>
    <col width="10.81640625" customWidth="1" min="7370" max="7371"/>
    <col width="10.81640625" customWidth="1" min="7374" max="7376"/>
    <col width="10.81640625" customWidth="1" min="7378" max="7415"/>
    <col width="10.81640625" customWidth="1" min="7417" max="7417"/>
    <col width="10.81640625" customWidth="1" min="7420" max="7420"/>
    <col width="10.81640625" customWidth="1" min="7423" max="7424"/>
    <col width="10.81640625" customWidth="1" min="7426" max="7426"/>
    <col width="10.81640625" customWidth="1" min="7429" max="7430"/>
    <col width="10.81640625" customWidth="1" min="7437" max="7438"/>
    <col width="10.81640625" customWidth="1" min="7440" max="7440"/>
    <col width="10.81640625" customWidth="1" min="7456" max="7473"/>
    <col width="10.81640625" customWidth="1" min="7475" max="7476"/>
    <col width="10.81640625" customWidth="1" min="7478" max="7478"/>
    <col width="10.81640625" customWidth="1" min="7480" max="7481"/>
    <col width="10.81640625" customWidth="1" min="7487" max="7491"/>
    <col width="10.81640625" customWidth="1" min="7493" max="7494"/>
    <col width="10.81640625" customWidth="1" min="7496" max="7496"/>
    <col width="10.81640625" customWidth="1" min="7500" max="7500"/>
    <col width="10.81640625" customWidth="1" min="7502" max="7503"/>
    <col width="10.81640625" customWidth="1" min="7520" max="7609"/>
    <col width="10.81640625" customWidth="1" min="7613" max="7613"/>
    <col width="10.81640625" customWidth="1" min="7615" max="7615"/>
    <col width="10.81640625" customWidth="1" min="7617" max="7617"/>
    <col width="10.81640625" customWidth="1" min="7621" max="7621"/>
    <col width="10.81640625" customWidth="1" min="7623" max="7624"/>
    <col width="10.81640625" customWidth="1" min="7626" max="7627"/>
    <col width="10.81640625" customWidth="1" min="7630" max="7632"/>
    <col width="10.81640625" customWidth="1" min="7634" max="7665"/>
    <col width="10.81640625" customWidth="1" min="7667" max="7676"/>
    <col width="10.81640625" customWidth="1" min="7678" max="7731"/>
    <col width="10.81640625" customWidth="1" min="7733" max="7733"/>
    <col width="10.81640625" customWidth="1" min="7735" max="7813"/>
    <col width="10.81640625" customWidth="1" min="7815" max="7815"/>
    <col width="10.81640625" customWidth="1" min="7817" max="7818"/>
    <col width="10.81640625" customWidth="1" min="7820" max="7820"/>
    <col width="10.81640625" customWidth="1" min="7826" max="7827"/>
    <col width="10.81640625" customWidth="1" min="7831" max="7831"/>
    <col width="10.81640625" customWidth="1" min="7840" max="7869"/>
    <col width="10.81640625" customWidth="1" min="7872" max="7873"/>
    <col width="10.81640625" customWidth="1" min="7877" max="7877"/>
    <col width="10.81640625" customWidth="1" min="7879" max="7880"/>
    <col width="10.81640625" customWidth="1" min="7882" max="7883"/>
    <col width="10.81640625" customWidth="1" min="7886" max="7888"/>
    <col width="10.81640625" customWidth="1" min="7890" max="7920"/>
    <col width="10.81640625" customWidth="1" min="7923" max="7988"/>
    <col width="10.81640625" customWidth="1" min="7992" max="7994"/>
    <col width="10.81640625" customWidth="1" min="7996" max="7997"/>
    <col width="10.81640625" customWidth="1" min="7999" max="7999"/>
    <col width="10.81640625" customWidth="1" min="8001" max="8002"/>
    <col width="10.81640625" customWidth="1" min="8004" max="8005"/>
    <col width="10.81640625" customWidth="1" min="8007" max="8007"/>
    <col width="10.81640625" customWidth="1" min="8009" max="8010"/>
    <col width="10.81640625" customWidth="1" min="8012" max="8012"/>
    <col width="10.81640625" customWidth="1" min="8018" max="8019"/>
    <col width="10.81640625" customWidth="1" min="8023" max="8023"/>
    <col width="10.81640625" customWidth="1" min="8032" max="8049"/>
    <col width="10.81640625" customWidth="1" min="8051" max="8060"/>
    <col width="10.81640625" customWidth="1" min="8062" max="8103"/>
    <col width="10.81640625" customWidth="1" min="8130" max="8130"/>
    <col width="10.81640625" customWidth="1" min="8133" max="8134"/>
    <col width="10.81640625" customWidth="1" min="8141" max="8142"/>
    <col width="10.81640625" customWidth="1" min="8144" max="8144"/>
    <col width="10.81640625" customWidth="1" min="8160" max="8182"/>
    <col width="10.81640625" customWidth="1" min="8185" max="8186"/>
    <col width="10.81640625" customWidth="1" min="8188" max="8188"/>
    <col width="10.81640625" customWidth="1" min="8190" max="8190"/>
    <col width="10.81640625" customWidth="1" min="8196" max="8196"/>
    <col width="10.81640625" customWidth="1" min="8199" max="8199"/>
    <col width="10.81640625" customWidth="1" min="8201" max="8202"/>
    <col width="10.81640625" customWidth="1" min="8205" max="8207"/>
    <col width="10.81640625" customWidth="1" min="8224" max="8305"/>
    <col width="10.81640625" customWidth="1" min="8307" max="8309"/>
    <col width="10.81640625" customWidth="1" min="8313" max="8314"/>
    <col width="10.81640625" customWidth="1" min="8318" max="8323"/>
    <col width="10.81640625" customWidth="1" min="8325" max="8326"/>
    <col width="10.81640625" customWidth="1" min="8328" max="8329"/>
    <col width="10.81640625" customWidth="1" min="8331" max="8332"/>
    <col width="10.81640625" customWidth="1" min="8334" max="8334"/>
    <col width="10.81640625" customWidth="1" min="8337" max="8337"/>
    <col width="10.81640625" customWidth="1" min="8339" max="8340"/>
    <col width="10.81640625" customWidth="1" min="8344" max="8344"/>
    <col width="10.81640625" customWidth="1" min="8347" max="8348"/>
    <col width="10.81640625" customWidth="1" min="8352" max="8360"/>
    <col width="10.81640625" customWidth="1" min="8363" max="8363"/>
    <col width="10.81640625" customWidth="1" min="8365" max="8365"/>
    <col width="10.81640625" customWidth="1" min="8368" max="8368"/>
    <col width="10.81640625" customWidth="1" min="8370" max="8370"/>
    <col width="10.81640625" customWidth="1" min="8373" max="8373"/>
    <col width="10.81640625" customWidth="1" min="8375" max="8376"/>
    <col width="10.81640625" customWidth="1" min="8380" max="8383"/>
    <col width="10.81640625" customWidth="1" min="8386" max="8386"/>
    <col width="10.81640625" customWidth="1" min="8390" max="8390"/>
    <col width="10.81640625" customWidth="1" min="8394" max="8395"/>
    <col width="10.81640625" customWidth="1" min="8398" max="8399"/>
    <col width="10.81640625" customWidth="1" min="8410" max="8412"/>
    <col width="10.81640625" customWidth="1" min="8415" max="8416"/>
    <col width="10.81640625" customWidth="1" min="8418" max="8418"/>
    <col width="10.81640625" customWidth="1" min="8420" max="8420"/>
    <col width="10.81640625" customWidth="1" min="8423" max="8426"/>
    <col width="10.81640625" customWidth="1" min="8428" max="8429"/>
    <col width="10.81640625" customWidth="1" min="8432" max="8433"/>
    <col width="10.81640625" customWidth="1" min="8436" max="8438"/>
    <col width="10.81640625" customWidth="1" min="8440" max="8501"/>
    <col width="10.81640625" customWidth="1" min="8503" max="8503"/>
    <col width="10.81640625" customWidth="1" min="8505" max="8506"/>
    <col width="10.81640625" customWidth="1" min="8511" max="8512"/>
    <col width="10.81640625" customWidth="1" min="8514" max="8514"/>
    <col width="10.81640625" customWidth="1" min="8517" max="8518"/>
    <col width="10.81640625" customWidth="1" min="8525" max="8526"/>
    <col width="10.81640625" customWidth="1" min="8528" max="8528"/>
    <col width="10.81640625" customWidth="1" min="8544" max="8561"/>
    <col width="10.81640625" customWidth="1" min="8563" max="8565"/>
    <col width="10.81640625" customWidth="1" min="8569" max="8570"/>
    <col width="10.81640625" customWidth="1" min="8574" max="8579"/>
    <col width="10.81640625" customWidth="1" min="8581" max="8582"/>
    <col width="10.81640625" customWidth="1" min="8584" max="8585"/>
    <col width="10.81640625" customWidth="1" min="8587" max="8588"/>
    <col width="10.81640625" customWidth="1" min="8590" max="8590"/>
    <col width="10.81640625" customWidth="1" min="8593" max="8593"/>
    <col width="10.81640625" customWidth="1" min="8595" max="8596"/>
    <col width="10.81640625" customWidth="1" min="8600" max="8600"/>
    <col width="10.81640625" customWidth="1" min="8603" max="8604"/>
    <col width="10.81640625" customWidth="1" min="8608" max="8616"/>
    <col width="10.81640625" customWidth="1" min="8619" max="8619"/>
    <col width="10.81640625" customWidth="1" min="8621" max="8621"/>
    <col width="10.81640625" customWidth="1" min="8624" max="8688"/>
    <col width="10.81640625" customWidth="1" min="8691" max="8820"/>
    <col width="10.81640625" customWidth="1" min="8823" max="8823"/>
    <col width="10.81640625" customWidth="1" min="8827" max="8827"/>
    <col width="10.81640625" customWidth="1" min="8831" max="8832"/>
    <col width="10.81640625" customWidth="1" min="8834" max="8834"/>
    <col width="10.81640625" customWidth="1" min="8837" max="8838"/>
    <col width="10.81640625" customWidth="1" min="8845" max="8846"/>
    <col width="10.81640625" customWidth="1" min="8848" max="8848"/>
    <col width="10.81640625" customWidth="1" min="8864" max="8884"/>
    <col width="10.81640625" customWidth="1" min="8889" max="8890"/>
    <col width="10.81640625" customWidth="1" min="8892" max="8892"/>
    <col width="10.81640625" customWidth="1" min="8894" max="8895"/>
    <col width="10.81640625" customWidth="1" min="8898" max="8898"/>
    <col width="10.81640625" customWidth="1" min="8900" max="8901"/>
    <col width="10.81640625" customWidth="1" min="8903" max="8903"/>
    <col width="10.81640625" customWidth="1" min="8905" max="8906"/>
    <col width="10.81640625" customWidth="1" min="8908" max="8908"/>
    <col width="10.81640625" customWidth="1" min="8914" max="8915"/>
    <col width="10.81640625" customWidth="1" min="8919" max="8919"/>
    <col width="10.81640625" customWidth="1" min="8928" max="8949"/>
    <col width="10.81640625" customWidth="1" min="8951" max="8951"/>
    <col width="10.81640625" customWidth="1" min="8955" max="8955"/>
    <col width="10.81640625" customWidth="1" min="8959" max="8960"/>
    <col width="10.81640625" customWidth="1" min="8962" max="8962"/>
    <col width="10.81640625" customWidth="1" min="8965" max="8966"/>
    <col width="10.81640625" customWidth="1" min="8973" max="8974"/>
    <col width="10.81640625" customWidth="1" min="8976" max="8976"/>
    <col width="10.81640625" customWidth="1" min="8992" max="9012"/>
    <col width="10.81640625" customWidth="1" min="9014" max="9014"/>
    <col width="10.81640625" customWidth="1" min="9017" max="9018"/>
    <col width="10.81640625" customWidth="1" min="9021" max="9021"/>
    <col width="10.81640625" customWidth="1" min="9023" max="9023"/>
    <col width="10.81640625" customWidth="1" min="9025" max="9025"/>
    <col width="10.81640625" customWidth="1" min="9028" max="9028"/>
    <col width="10.81640625" customWidth="1" min="9032" max="9032"/>
    <col width="10.81640625" customWidth="1" min="9037" max="9039"/>
    <col width="10.81640625" customWidth="1" min="9056" max="9076"/>
    <col width="10.81640625" customWidth="1" min="9078" max="9078"/>
    <col width="10.81640625" customWidth="1" min="9083" max="9083"/>
    <col width="10.81640625" customWidth="1" min="9087" max="9088"/>
    <col width="10.81640625" customWidth="1" min="9090" max="9090"/>
    <col width="10.81640625" customWidth="1" min="9093" max="9094"/>
    <col width="10.81640625" customWidth="1" min="9101" max="9102"/>
    <col width="10.81640625" customWidth="1" min="9104" max="9104"/>
    <col width="10.81640625" customWidth="1" min="9120" max="9140"/>
    <col width="10.81640625" customWidth="1" min="9145" max="9146"/>
    <col width="10.81640625" customWidth="1" min="9148" max="9148"/>
    <col width="10.81640625" customWidth="1" min="9150" max="9151"/>
    <col width="10.81640625" customWidth="1" min="9154" max="9154"/>
    <col width="10.81640625" customWidth="1" min="9156" max="9157"/>
    <col width="10.81640625" customWidth="1" min="9159" max="9159"/>
    <col width="10.81640625" customWidth="1" min="9161" max="9162"/>
    <col width="10.81640625" customWidth="1" min="9164" max="9164"/>
    <col width="10.81640625" customWidth="1" min="9170" max="9171"/>
    <col width="10.81640625" customWidth="1" min="9175" max="9175"/>
    <col width="10.81640625" customWidth="1" min="9184" max="9206"/>
    <col width="10.81640625" customWidth="1" min="9211" max="9211"/>
    <col width="10.81640625" customWidth="1" min="9215" max="9216"/>
    <col width="10.81640625" customWidth="1" min="9218" max="9218"/>
    <col width="10.81640625" customWidth="1" min="9221" max="9222"/>
    <col width="10.81640625" customWidth="1" min="9229" max="9230"/>
    <col width="10.81640625" customWidth="1" min="9232" max="9296"/>
    <col width="10.81640625" customWidth="1" min="9312" max="9462"/>
    <col width="10.81640625" customWidth="1" min="9465" max="9466"/>
    <col width="10.81640625" customWidth="1" min="9468" max="9468"/>
    <col width="10.81640625" customWidth="1" min="9470" max="9470"/>
    <col width="10.81640625" customWidth="1" min="9476" max="9476"/>
    <col width="10.81640625" customWidth="1" min="9479" max="9479"/>
    <col width="10.81640625" customWidth="1" min="9481" max="9482"/>
    <col width="10.81640625" customWidth="1" min="9485" max="9487"/>
    <col width="10.81640625" customWidth="1" min="9489" max="9552"/>
    <col width="10.81640625" customWidth="1" min="9554" max="9555"/>
    <col width="10.81640625" customWidth="1" min="9559" max="9559"/>
    <col width="10.81640625" customWidth="1" min="9568" max="9585"/>
    <col width="10.81640625" customWidth="1" min="9587" max="9589"/>
    <col width="10.81640625" customWidth="1" min="9593" max="9594"/>
    <col width="10.81640625" customWidth="1" min="9598" max="9603"/>
    <col width="10.81640625" customWidth="1" min="9605" max="9606"/>
    <col width="10.81640625" customWidth="1" min="9608" max="9609"/>
    <col width="10.81640625" customWidth="1" min="9611" max="9612"/>
    <col width="10.81640625" customWidth="1" min="9614" max="9614"/>
    <col width="10.81640625" customWidth="1" min="9617" max="9617"/>
    <col width="10.81640625" customWidth="1" min="9619" max="9620"/>
    <col width="10.81640625" customWidth="1" min="9624" max="9624"/>
    <col width="10.81640625" customWidth="1" min="9627" max="9628"/>
    <col width="10.81640625" customWidth="1" min="9632" max="9640"/>
    <col width="10.81640625" customWidth="1" min="9643" max="9643"/>
    <col width="10.81640625" customWidth="1" min="9645" max="9645"/>
    <col width="10.81640625" customWidth="1" min="9648" max="9652"/>
    <col width="10.81640625" customWidth="1" min="9655" max="9655"/>
    <col width="10.81640625" customWidth="1" min="9657" max="9659"/>
    <col width="10.81640625" customWidth="1" min="9663" max="9664"/>
    <col width="10.81640625" customWidth="1" min="9666" max="9666"/>
    <col width="10.81640625" customWidth="1" min="9669" max="9670"/>
    <col width="10.81640625" customWidth="1" min="9677" max="9678"/>
    <col width="10.81640625" customWidth="1" min="9680" max="9680"/>
    <col width="10.81640625" customWidth="1" min="9696" max="9716"/>
    <col width="10.81640625" customWidth="1" min="9721" max="9724"/>
    <col width="10.81640625" customWidth="1" min="9731" max="9732"/>
    <col width="10.81640625" customWidth="1" min="9735" max="9735"/>
    <col width="10.81640625" customWidth="1" min="9740" max="9740"/>
    <col width="10.81640625" customWidth="1" min="9744" max="9744"/>
    <col width="10.81640625" customWidth="1" min="9760" max="9780"/>
    <col width="10.81640625" customWidth="1" min="9783" max="9783"/>
    <col width="10.81640625" customWidth="1" min="9791" max="9792"/>
    <col width="10.81640625" customWidth="1" min="9794" max="9794"/>
    <col width="10.81640625" customWidth="1" min="9797" max="9798"/>
    <col width="10.81640625" customWidth="1" min="9805" max="9806"/>
    <col width="10.81640625" customWidth="1" min="9808" max="9808"/>
    <col width="10.81640625" customWidth="1" min="9824" max="9840"/>
    <col width="10.81640625" customWidth="1" min="9905" max="9972"/>
    <col width="10.81640625" customWidth="1" min="9974" max="9975"/>
    <col width="10.81640625" customWidth="1" min="9977" max="9979"/>
    <col width="10.81640625" customWidth="1" min="9983" max="9984"/>
    <col width="10.81640625" customWidth="1" min="9986" max="9986"/>
    <col width="10.81640625" customWidth="1" min="9989" max="9990"/>
    <col width="10.81640625" customWidth="1" min="9997" max="9998"/>
    <col width="10.81640625" customWidth="1" min="10000" max="10000"/>
    <col width="10.81640625" customWidth="1" min="10016" max="10032"/>
    <col width="10.81640625" customWidth="1" min="10034" max="10038"/>
    <col width="10.81640625" customWidth="1" min="10041" max="10041"/>
    <col width="10.81640625" customWidth="1" min="10044" max="10044"/>
    <col width="10.81640625" customWidth="1" min="10047" max="10048"/>
    <col width="10.81640625" customWidth="1" min="10050" max="10050"/>
    <col width="10.81640625" customWidth="1" min="10054" max="10054"/>
    <col width="10.81640625" customWidth="1" min="10056" max="10056"/>
    <col width="10.81640625" customWidth="1" min="10058" max="10060"/>
    <col width="10.81640625" customWidth="1" min="10062" max="10063"/>
    <col width="10.81640625" customWidth="1" min="10080" max="10096"/>
    <col width="10.81640625" customWidth="1" min="10161" max="10164"/>
    <col width="10.81640625" customWidth="1" min="10168" max="10168"/>
    <col width="10.81640625" customWidth="1" min="10171" max="10171"/>
    <col width="10.81640625" customWidth="1" min="10175" max="10176"/>
    <col width="10.81640625" customWidth="1" min="10178" max="10178"/>
    <col width="10.81640625" customWidth="1" min="10181" max="10182"/>
    <col width="10.81640625" customWidth="1" min="10189" max="10190"/>
    <col width="10.81640625" customWidth="1" min="10192" max="10192"/>
    <col width="10.81640625" customWidth="1" min="10208" max="10228"/>
    <col width="10.81640625" customWidth="1" min="10231" max="10231"/>
    <col width="10.81640625" customWidth="1" min="10233" max="10235"/>
    <col width="10.81640625" customWidth="1" min="10239" max="10240"/>
    <col width="10.81640625" customWidth="1" min="10242" max="10242"/>
    <col width="10.81640625" customWidth="1" min="10245" max="10246"/>
    <col width="10.81640625" customWidth="1" min="10253" max="10254"/>
    <col width="10.81640625" customWidth="1" min="10256" max="10256"/>
    <col width="10.81640625" customWidth="1" min="10272" max="10288"/>
    <col width="10.81640625" customWidth="1" min="10290" max="10294"/>
    <col width="10.81640625" customWidth="1" min="10297" max="10297"/>
    <col width="10.81640625" customWidth="1" min="10300" max="10300"/>
    <col width="10.81640625" customWidth="1" min="10303" max="10304"/>
    <col width="10.81640625" customWidth="1" min="10306" max="10306"/>
    <col width="10.81640625" customWidth="1" min="10310" max="10310"/>
    <col width="10.81640625" customWidth="1" min="10312" max="10312"/>
    <col width="10.81640625" customWidth="1" min="10314" max="10316"/>
    <col width="10.81640625" customWidth="1" min="10318" max="10319"/>
    <col width="10.81640625" customWidth="1" min="10336" max="10352"/>
    <col width="10.81640625" customWidth="1" min="10355" max="10357"/>
    <col width="10.81640625" customWidth="1" min="10360" max="10360"/>
    <col width="10.81640625" customWidth="1" min="10362" max="10362"/>
    <col width="10.81640625" customWidth="1" min="10364" max="10364"/>
    <col width="10.81640625" customWidth="1" min="10368" max="10368"/>
    <col width="10.81640625" customWidth="1" min="10370" max="10370"/>
    <col width="10.81640625" customWidth="1" min="10373" max="10373"/>
    <col width="10.81640625" customWidth="1" min="10376" max="10376"/>
    <col width="10.81640625" customWidth="1" min="10378" max="10378"/>
    <col width="10.81640625" customWidth="1" min="10380" max="10381"/>
    <col width="10.81640625" customWidth="1" min="10384" max="10385"/>
    <col width="10.81640625" customWidth="1" min="10389" max="10389"/>
    <col width="10.81640625" customWidth="1" min="10392" max="10394"/>
    <col width="10.81640625" customWidth="1" min="10396" max="10396"/>
    <col width="10.81640625" customWidth="1" min="10400" max="10400"/>
    <col width="10.81640625" customWidth="1" min="10403" max="10404"/>
    <col width="10.81640625" customWidth="1" min="10408" max="10408"/>
    <col width="10.81640625" customWidth="1" min="10413" max="10413"/>
    <col width="10.81640625" customWidth="1" min="10415" max="10420"/>
    <col width="10.81640625" customWidth="1" min="10422" max="10423"/>
    <col width="10.81640625" customWidth="1" min="10427" max="10427"/>
    <col width="10.81640625" customWidth="1" min="10431" max="10432"/>
    <col width="10.81640625" customWidth="1" min="10434" max="10434"/>
    <col width="10.81640625" customWidth="1" min="10437" max="10438"/>
    <col width="10.81640625" customWidth="1" min="10445" max="10446"/>
    <col width="10.81640625" customWidth="1" min="10448" max="10448"/>
    <col width="10.81640625" customWidth="1" min="10464" max="10480"/>
    <col width="10.81640625" customWidth="1" min="10482" max="10482"/>
    <col width="10.81640625" customWidth="1" min="10485" max="10485"/>
    <col width="10.81640625" customWidth="1" min="10488" max="10488"/>
    <col width="10.81640625" customWidth="1" min="10490" max="10493"/>
    <col width="10.81640625" customWidth="1" min="10496" max="10498"/>
    <col width="10.81640625" customWidth="1" min="10500" max="10501"/>
    <col width="10.81640625" customWidth="1" min="10504" max="10504"/>
    <col width="10.81640625" customWidth="1" min="10506" max="10509"/>
    <col width="10.81640625" customWidth="1" min="10512" max="10512"/>
    <col width="10.81640625" customWidth="1" min="10518" max="10518"/>
    <col width="10.81640625" customWidth="1" min="10520" max="10522"/>
    <col width="10.81640625" customWidth="1" min="10524" max="10525"/>
    <col width="10.81640625" customWidth="1" min="10528" max="10528"/>
    <col width="10.81640625" customWidth="1" min="10530" max="10533"/>
    <col width="10.81640625" customWidth="1" min="10536" max="10538"/>
    <col width="10.81640625" customWidth="1" min="10540" max="10540"/>
    <col width="10.81640625" customWidth="1" min="10544" max="10544"/>
    <col width="10.81640625" customWidth="1" min="10546" max="10549"/>
    <col width="10.81640625" customWidth="1" min="10552" max="10552"/>
    <col width="10.81640625" customWidth="1" min="10557" max="10557"/>
    <col width="10.81640625" customWidth="1" min="10559" max="10560"/>
    <col width="10.81640625" customWidth="1" min="10562" max="10562"/>
    <col width="10.81640625" customWidth="1" min="10564" max="10565"/>
    <col width="10.81640625" customWidth="1" min="10568" max="10569"/>
    <col width="10.81640625" customWidth="1" min="10573" max="10573"/>
    <col width="10.81640625" customWidth="1" min="10576" max="10578"/>
    <col width="10.81640625" customWidth="1" min="10580" max="10580"/>
    <col width="10.81640625" customWidth="1" min="10584" max="10584"/>
    <col width="10.81640625" customWidth="1" min="10586" max="10587"/>
    <col width="10.81640625" customWidth="1" min="10589" max="10589"/>
    <col width="10.81640625" customWidth="1" min="10592" max="10594"/>
    <col width="10.81640625" customWidth="1" min="10596" max="10596"/>
    <col width="10.81640625" customWidth="1" min="10600" max="10600"/>
    <col width="10.81640625" customWidth="1" min="10602" max="10603"/>
    <col width="10.81640625" customWidth="1" min="10605" max="10605"/>
    <col width="10.81640625" customWidth="1" min="10608" max="10608"/>
    <col width="10.81640625" customWidth="1" min="10610" max="10610"/>
    <col width="10.81640625" customWidth="1" min="10612" max="10613"/>
    <col width="10.81640625" customWidth="1" min="10616" max="10616"/>
    <col width="10.81640625" customWidth="1" min="10619" max="10620"/>
    <col width="10.81640625" customWidth="1" min="10624" max="10624"/>
    <col width="10.81640625" customWidth="1" min="10629" max="10629"/>
    <col width="10.81640625" customWidth="1" min="10631" max="10632"/>
    <col width="10.81640625" customWidth="1" min="10634" max="10634"/>
    <col width="10.81640625" customWidth="1" min="10636" max="10637"/>
    <col width="10.81640625" customWidth="1" min="10640" max="10641"/>
    <col width="10.81640625" customWidth="1" min="10645" max="10645"/>
    <col width="10.81640625" customWidth="1" min="10648" max="10650"/>
    <col width="10.81640625" customWidth="1" min="10652" max="10652"/>
    <col width="10.81640625" customWidth="1" min="10656" max="10656"/>
    <col width="10.81640625" customWidth="1" min="10658" max="10659"/>
    <col width="10.81640625" customWidth="1" min="10661" max="10661"/>
    <col width="10.81640625" customWidth="1" min="10664" max="10666"/>
    <col width="10.81640625" customWidth="1" min="10668" max="10668"/>
    <col width="10.81640625" customWidth="1" min="10672" max="10672"/>
    <col width="10.81640625" customWidth="1" min="10674" max="10675"/>
    <col width="10.81640625" customWidth="1" min="10680" max="10680"/>
    <col width="10.81640625" customWidth="1" min="10686" max="10686"/>
    <col width="10.81640625" customWidth="1" min="10688" max="10690"/>
    <col width="10.81640625" customWidth="1" min="10692" max="10692"/>
    <col width="10.81640625" customWidth="1" min="10696" max="10696"/>
    <col width="10.81640625" customWidth="1" min="10698" max="10698"/>
    <col width="10.81640625" customWidth="1" min="10700" max="10701"/>
    <col width="10.81640625" customWidth="1" min="10704" max="10704"/>
    <col width="10.81640625" customWidth="1" min="10706" max="10706"/>
    <col width="10.81640625" customWidth="1" min="10709" max="10709"/>
    <col width="10.81640625" customWidth="1" min="10712" max="10716"/>
    <col width="10.81640625" customWidth="1" min="10720" max="10722"/>
    <col width="10.81640625" customWidth="1" min="10725" max="10725"/>
    <col width="10.81640625" customWidth="1" min="10728" max="10728"/>
    <col width="10.81640625" customWidth="1" min="10730" max="10733"/>
    <col width="10.81640625" customWidth="1" min="10736" max="10738"/>
    <col width="10.81640625" customWidth="1" min="10740" max="10740"/>
    <col width="10.81640625" customWidth="1" min="10744" max="10744"/>
    <col width="10.81640625" customWidth="1" min="10746" max="10746"/>
    <col width="10.81640625" customWidth="1" min="10748" max="10749"/>
    <col width="10.81640625" customWidth="1" min="10752" max="10753"/>
    <col width="10.81640625" customWidth="1" min="10757" max="10757"/>
    <col width="10.81640625" customWidth="1" min="10759" max="10763"/>
    <col width="10.81640625" customWidth="1" min="10768" max="10770"/>
    <col width="10.81640625" customWidth="1" min="10773" max="10773"/>
    <col width="10.81640625" customWidth="1" min="10776" max="10776"/>
    <col width="10.81640625" customWidth="1" min="10779" max="10780"/>
    <col width="10.81640625" customWidth="1" min="10784" max="10800"/>
    <col width="10.81640625" customWidth="1" min="10802" max="10804"/>
    <col width="10.81640625" customWidth="1" min="10806" max="10806"/>
    <col width="10.81640625" customWidth="1" min="10808" max="10812"/>
    <col width="10.81640625" customWidth="1" min="10815" max="10816"/>
    <col width="10.81640625" customWidth="1" min="10818" max="10819"/>
    <col width="10.81640625" customWidth="1" min="10822" max="10822"/>
    <col width="10.81640625" customWidth="1" min="10827" max="10828"/>
    <col width="10.81640625" customWidth="1" min="10830" max="10832"/>
    <col width="10.81640625" customWidth="1" min="10834" max="10864"/>
    <col width="10.81640625" customWidth="1" min="10897" max="10897"/>
    <col width="10.81640625" customWidth="1" min="10929" max="10931"/>
    <col width="10.81640625" customWidth="1" min="10935" max="10937"/>
    <col width="10.81640625" customWidth="1" min="10939" max="10940"/>
    <col width="10.81640625" customWidth="1" min="10942" max="10942"/>
    <col width="10.81640625" customWidth="1" min="10944" max="10944"/>
    <col width="10.81640625" customWidth="1" min="10946" max="10949"/>
    <col width="10.81640625" customWidth="1" min="10951" max="10951"/>
    <col width="10.81640625" customWidth="1" min="10954" max="10956"/>
    <col width="10.81640625" customWidth="1" min="10962" max="10963"/>
    <col width="10.81640625" customWidth="1" min="10967" max="10967"/>
    <col width="10.81640625" customWidth="1" min="10976" max="10996"/>
    <col width="10.81640625" customWidth="1" min="10998" max="10998"/>
    <col width="10.81640625" customWidth="1" min="11000" max="11003"/>
    <col width="10.81640625" customWidth="1" min="11007" max="11008"/>
    <col width="10.81640625" customWidth="1" min="11010" max="11011"/>
    <col width="10.81640625" customWidth="1" min="11013" max="11013"/>
    <col width="10.81640625" customWidth="1" min="11015" max="11015"/>
    <col width="10.81640625" customWidth="1" min="11018" max="11020"/>
    <col width="10.81640625" customWidth="1" min="11026" max="11027"/>
    <col width="10.81640625" customWidth="1" min="11031" max="11031"/>
    <col width="10.81640625" customWidth="1" min="11040" max="11124"/>
    <col width="10.81640625" customWidth="1" min="11126" max="11126"/>
    <col width="10.81640625" customWidth="1" min="11128" max="11131"/>
    <col width="10.81640625" customWidth="1" min="11135" max="11136"/>
    <col width="10.81640625" customWidth="1" min="11138" max="11138"/>
    <col width="10.81640625" customWidth="1" min="11141" max="11142"/>
    <col width="10.81640625" customWidth="1" min="11149" max="11150"/>
    <col width="10.81640625" customWidth="1" min="11152" max="11152"/>
    <col width="10.81640625" customWidth="1" min="11168" max="11185"/>
    <col width="10.81640625" customWidth="1" min="11187" max="11187"/>
    <col width="10.81640625" customWidth="1" min="11190" max="11193"/>
    <col width="10.81640625" customWidth="1" min="11195" max="11196"/>
    <col width="10.81640625" customWidth="1" min="11198" max="11198"/>
    <col width="10.81640625" customWidth="1" min="11200" max="11202"/>
    <col width="10.81640625" customWidth="1" min="11204" max="11204"/>
    <col width="10.81640625" customWidth="1" min="11208" max="11208"/>
    <col width="10.81640625" customWidth="1" min="11213" max="11215"/>
    <col width="10.81640625" customWidth="1" min="11232" max="11248"/>
    <col width="10.81640625" customWidth="1" min="11252" max="11382"/>
    <col width="10.81640625" customWidth="1" min="11384" max="11384"/>
    <col width="10.81640625" customWidth="1" min="11386" max="11386"/>
    <col width="10.81640625" customWidth="1" min="11391" max="11392"/>
    <col width="10.81640625" customWidth="1" min="11394" max="11394"/>
    <col width="10.81640625" customWidth="1" min="11397" max="11398"/>
    <col width="10.81640625" customWidth="1" min="11405" max="11406"/>
    <col width="10.81640625" customWidth="1" min="11408" max="11408"/>
    <col width="10.81640625" customWidth="1" min="11424" max="11441"/>
    <col width="10.81640625" customWidth="1" min="11444" max="11446"/>
    <col width="10.81640625" customWidth="1" min="11450" max="11451"/>
    <col width="10.81640625" customWidth="1" min="11454" max="11458"/>
    <col width="10.81640625" customWidth="1" min="11460" max="11460"/>
    <col width="10.81640625" customWidth="1" min="11464" max="11464"/>
    <col width="10.81640625" customWidth="1" min="11469" max="11471"/>
    <col width="10.81640625" customWidth="1" min="11488" max="11505"/>
    <col width="10.81640625" customWidth="1" min="11507" max="11509"/>
    <col width="10.81640625" customWidth="1" min="11513" max="11514"/>
    <col width="10.81640625" customWidth="1" min="11518" max="11523"/>
    <col width="10.81640625" customWidth="1" min="11525" max="11526"/>
    <col width="10.81640625" customWidth="1" min="11528" max="11529"/>
    <col width="10.81640625" customWidth="1" min="11531" max="11532"/>
    <col width="10.81640625" customWidth="1" min="11534" max="11534"/>
    <col width="10.81640625" customWidth="1" min="11537" max="11537"/>
    <col width="10.81640625" customWidth="1" min="11539" max="11540"/>
    <col width="10.81640625" customWidth="1" min="11544" max="11544"/>
    <col width="10.81640625" customWidth="1" min="11547" max="11548"/>
    <col width="10.81640625" customWidth="1" min="11552" max="11560"/>
    <col width="10.81640625" customWidth="1" min="11563" max="11563"/>
    <col width="10.81640625" customWidth="1" min="11565" max="11565"/>
    <col width="10.81640625" customWidth="1" min="11568" max="11568"/>
    <col width="10.81640625" customWidth="1" min="11578" max="11632"/>
    <col width="10.81640625" customWidth="1" min="11697" max="11764"/>
    <col width="10.81640625" customWidth="1" min="11767" max="11767"/>
    <col width="10.81640625" customWidth="1" min="11771" max="11771"/>
    <col width="10.81640625" customWidth="1" min="11775" max="11776"/>
    <col width="10.81640625" customWidth="1" min="11778" max="11778"/>
    <col width="10.81640625" customWidth="1" min="11781" max="11782"/>
    <col width="10.81640625" customWidth="1" min="11789" max="11790"/>
    <col width="10.81640625" customWidth="1" min="11792" max="11792"/>
    <col width="10.81640625" customWidth="1" min="11808" max="11892"/>
    <col width="10.81640625" customWidth="1" min="11894" max="11895"/>
    <col width="10.81640625" customWidth="1" min="11897" max="11897"/>
    <col width="10.81640625" customWidth="1" min="11899" max="11899"/>
    <col width="10.81640625" customWidth="1" min="11903" max="11904"/>
    <col width="10.81640625" customWidth="1" min="11906" max="11906"/>
    <col width="10.81640625" customWidth="1" min="11909" max="11910"/>
    <col width="10.81640625" customWidth="1" min="11917" max="11918"/>
    <col width="10.81640625" customWidth="1" min="11920" max="11920"/>
    <col width="10.81640625" customWidth="1" min="11936" max="11952"/>
    <col width="10.81640625" customWidth="1" min="11954" max="11954"/>
    <col width="10.81640625" customWidth="1" min="11957" max="11960"/>
    <col width="10.81640625" customWidth="1" min="11962" max="11963"/>
    <col width="10.81640625" customWidth="1" min="11968" max="11968"/>
    <col width="10.81640625" customWidth="1" min="11971" max="11971"/>
    <col width="10.81640625" customWidth="1" min="11974" max="11974"/>
    <col width="10.81640625" customWidth="1" min="11976" max="11976"/>
    <col width="10.81640625" customWidth="1" min="11978" max="11980"/>
    <col width="10.81640625" customWidth="1" min="11982" max="11983"/>
    <col width="10.81640625" customWidth="1" min="12000" max="12020"/>
    <col width="10.81640625" customWidth="1" min="12022" max="12022"/>
    <col width="10.81640625" customWidth="1" min="12027" max="12027"/>
    <col width="10.81640625" customWidth="1" min="12031" max="12032"/>
    <col width="10.81640625" customWidth="1" min="12034" max="12034"/>
    <col width="10.81640625" customWidth="1" min="12037" max="12038"/>
    <col width="10.81640625" customWidth="1" min="12045" max="12046"/>
    <col width="10.81640625" customWidth="1" min="12048" max="12048"/>
    <col width="10.81640625" customWidth="1" min="12064" max="12084"/>
    <col width="10.81640625" customWidth="1" min="12087" max="12087"/>
    <col width="10.81640625" customWidth="1" min="12095" max="12096"/>
    <col width="10.81640625" customWidth="1" min="12098" max="12098"/>
    <col width="10.81640625" customWidth="1" min="12101" max="12102"/>
    <col width="10.81640625" customWidth="1" min="12109" max="12110"/>
    <col width="10.81640625" customWidth="1" min="12112" max="12112"/>
    <col width="10.81640625" customWidth="1" min="12128" max="12144"/>
    <col width="10.81640625" customWidth="1" min="12147" max="12148"/>
    <col width="10.81640625" customWidth="1" min="12151" max="12151"/>
    <col width="10.81640625" customWidth="1" min="12155" max="12155"/>
    <col width="10.81640625" customWidth="1" min="12159" max="12160"/>
    <col width="10.81640625" customWidth="1" min="12162" max="12162"/>
    <col width="10.81640625" customWidth="1" min="12165" max="12166"/>
    <col width="10.81640625" customWidth="1" min="12173" max="12174"/>
    <col width="10.81640625" customWidth="1" min="12176" max="12176"/>
    <col width="10.81640625" customWidth="1" min="12192" max="12208"/>
    <col width="10.81640625" customWidth="1" min="12210" max="12210"/>
    <col width="10.81640625" customWidth="1" min="12213" max="12216"/>
    <col width="10.81640625" customWidth="1" min="12218" max="12219"/>
    <col width="10.81640625" customWidth="1" min="12224" max="12224"/>
    <col width="10.81640625" customWidth="1" min="12227" max="12227"/>
    <col width="10.81640625" customWidth="1" min="12230" max="12230"/>
    <col width="10.81640625" customWidth="1" min="12232" max="12232"/>
    <col width="10.81640625" customWidth="1" min="12234" max="12236"/>
    <col width="10.81640625" customWidth="1" min="12238" max="12239"/>
    <col width="10.81640625" customWidth="1" min="12243" max="12243"/>
    <col width="10.81640625" customWidth="1" min="12250" max="12275"/>
    <col width="10.81640625" customWidth="1" min="12277" max="12281"/>
    <col width="10.81640625" customWidth="1" min="12283" max="12288"/>
    <col width="10.81640625" customWidth="1" min="12305" max="12340"/>
    <col width="10.81640625" customWidth="1" min="12343" max="12343"/>
    <col width="10.81640625" customWidth="1" min="12347" max="12347"/>
    <col width="10.81640625" customWidth="1" min="12351" max="12352"/>
    <col width="10.81640625" customWidth="1" min="12354" max="12354"/>
    <col width="10.81640625" customWidth="1" min="12357" max="12358"/>
    <col width="10.81640625" customWidth="1" min="12365" max="12366"/>
    <col width="10.81640625" customWidth="1" min="12368" max="12368"/>
    <col width="10.81640625" customWidth="1" min="12384" max="12401"/>
    <col width="10.81640625" customWidth="1" min="12410" max="12432"/>
    <col width="10.81640625" customWidth="1" min="12448" max="12464"/>
    <col width="10.81640625" customWidth="1" min="12466" max="12496"/>
    <col width="10.81640625" customWidth="1" min="12499" max="12499"/>
    <col width="10.81640625" customWidth="1" min="12506" max="12531"/>
    <col width="10.81640625" customWidth="1" min="12533" max="12537"/>
    <col width="10.81640625" customWidth="1" min="12539" max="12544"/>
    <col width="10.81640625" customWidth="1" min="12561" max="12562"/>
    <col width="10.81640625" customWidth="1" min="12564" max="12596"/>
    <col width="10.81640625" customWidth="1" min="12598" max="12598"/>
    <col width="10.81640625" customWidth="1" min="12603" max="12603"/>
    <col width="10.81640625" customWidth="1" min="12607" max="12608"/>
    <col width="10.81640625" customWidth="1" min="12610" max="12610"/>
    <col width="10.81640625" customWidth="1" min="12613" max="12614"/>
    <col width="10.81640625" customWidth="1" min="12621" max="12622"/>
    <col width="10.81640625" customWidth="1" min="12624" max="12624"/>
    <col width="10.81640625" customWidth="1" min="12640" max="12657"/>
    <col width="10.81640625" customWidth="1" min="12666" max="12721"/>
    <col width="10.81640625" customWidth="1" min="12723" max="12790"/>
    <col width="10.81640625" customWidth="1" min="12792" max="12792"/>
    <col width="10.81640625" customWidth="1" min="12794" max="12795"/>
    <col width="10.81640625" customWidth="1" min="12799" max="12800"/>
    <col width="10.81640625" customWidth="1" min="12802" max="12802"/>
    <col width="10.81640625" customWidth="1" min="12805" max="12806"/>
    <col width="10.81640625" customWidth="1" min="12813" max="12814"/>
    <col width="10.81640625" customWidth="1" min="12816" max="12816"/>
    <col width="10.81640625" customWidth="1" min="12832" max="12848"/>
    <col width="10.81640625" customWidth="1" min="12854" max="12854"/>
    <col width="10.81640625" customWidth="1" min="12856" max="12858"/>
    <col width="10.81640625" customWidth="1" min="12864" max="12864"/>
    <col width="10.81640625" customWidth="1" min="12866" max="12866"/>
    <col width="10.81640625" customWidth="1" min="12870" max="12870"/>
    <col width="10.81640625" customWidth="1" min="12874" max="12875"/>
    <col width="10.81640625" customWidth="1" min="12878" max="12879"/>
    <col width="10.81640625" customWidth="1" min="12896" max="12921"/>
    <col width="10.81640625" customWidth="1" min="12923" max="12923"/>
    <col width="10.81640625" customWidth="1" min="12926" max="12927"/>
    <col width="10.81640625" customWidth="1" min="12929" max="12929"/>
    <col width="10.81640625" customWidth="1" min="12933" max="12933"/>
    <col width="10.81640625" customWidth="1" min="12935" max="12936"/>
    <col width="10.81640625" customWidth="1" min="12938" max="12939"/>
    <col width="10.81640625" customWidth="1" min="12942" max="12944"/>
    <col width="10.81640625" customWidth="1" min="12946" max="12980"/>
    <col width="10.81640625" customWidth="1" min="12982" max="12983"/>
    <col width="10.81640625" customWidth="1" min="12986" max="12987"/>
    <col width="10.81640625" customWidth="1" min="12991" max="12992"/>
    <col width="10.81640625" customWidth="1" min="12994" max="12994"/>
    <col width="10.81640625" customWidth="1" min="12997" max="12998"/>
    <col width="10.81640625" customWidth="1" min="13005" max="13006"/>
    <col width="10.81640625" customWidth="1" min="13008" max="13008"/>
    <col width="10.81640625" customWidth="1" min="13024" max="13053"/>
    <col width="10.81640625" customWidth="1" min="13056" max="13057"/>
    <col width="10.81640625" customWidth="1" min="13061" max="13061"/>
    <col width="10.81640625" customWidth="1" min="13063" max="13064"/>
    <col width="10.81640625" customWidth="1" min="13066" max="13067"/>
    <col width="10.81640625" customWidth="1" min="13070" max="13072"/>
    <col width="10.81640625" customWidth="1" min="13074" max="13113"/>
    <col width="10.81640625" customWidth="1" min="13117" max="13117"/>
    <col width="10.81640625" customWidth="1" min="13119" max="13119"/>
    <col width="10.81640625" customWidth="1" min="13121" max="13121"/>
    <col width="10.81640625" customWidth="1" min="13125" max="13125"/>
    <col width="10.81640625" customWidth="1" min="13127" max="13128"/>
    <col width="10.81640625" customWidth="1" min="13130" max="13131"/>
    <col width="10.81640625" customWidth="1" min="13134" max="13136"/>
    <col width="10.81640625" customWidth="1" min="13138" max="13169"/>
    <col width="10.81640625" customWidth="1" min="13172" max="13236"/>
    <col width="10.81640625" customWidth="1" min="13239" max="13239"/>
    <col width="10.81640625" customWidth="1" min="13242" max="13243"/>
    <col width="10.81640625" customWidth="1" min="13247" max="13248"/>
    <col width="10.81640625" customWidth="1" min="13250" max="13250"/>
    <col width="10.81640625" customWidth="1" min="13253" max="13254"/>
    <col width="10.81640625" customWidth="1" min="13261" max="13262"/>
    <col width="10.81640625" customWidth="1" min="13264" max="13264"/>
    <col width="10.81640625" customWidth="1" min="13280" max="13300"/>
    <col width="10.81640625" customWidth="1" min="13303" max="13305"/>
    <col width="10.81640625" customWidth="1" min="13307" max="13307"/>
    <col width="10.81640625" customWidth="1" min="13311" max="13312"/>
    <col width="10.81640625" customWidth="1" min="13314" max="13314"/>
    <col width="10.81640625" customWidth="1" min="13317" max="13318"/>
    <col width="10.81640625" customWidth="1" min="13325" max="13326"/>
    <col width="10.81640625" customWidth="1" min="13328" max="13328"/>
    <col width="10.81640625" customWidth="1" min="13344" max="13361"/>
    <col width="10.81640625" customWidth="1" min="13364" max="13365"/>
    <col width="10.81640625" customWidth="1" min="13367" max="13369"/>
    <col width="10.81640625" customWidth="1" min="13371" max="13371"/>
    <col width="10.81640625" customWidth="1" min="13373" max="13373"/>
    <col width="10.81640625" customWidth="1" min="13376" max="13376"/>
    <col width="10.81640625" customWidth="1" min="13378" max="13378"/>
    <col width="10.81640625" customWidth="1" min="13382" max="13382"/>
    <col width="10.81640625" customWidth="1" min="13386" max="13387"/>
    <col width="10.81640625" customWidth="1" min="13390" max="13391"/>
    <col width="10.81640625" customWidth="1" min="13408" max="14001"/>
    <col width="10.81640625" customWidth="1" min="14003" max="14005"/>
    <col width="10.81640625" customWidth="1" min="14007" max="14007"/>
    <col width="10.81640625" customWidth="1" min="14011" max="14011"/>
    <col width="10.81640625" customWidth="1" min="14013" max="14013"/>
    <col width="10.81640625" customWidth="1" min="14015" max="14015"/>
    <col width="10.81640625" customWidth="1" min="14017" max="14017"/>
    <col width="10.81640625" customWidth="1" min="14019" max="14019"/>
    <col width="10.81640625" customWidth="1" min="14021" max="14021"/>
    <col width="10.81640625" customWidth="1" min="14023" max="14023"/>
    <col width="10.81640625" customWidth="1" min="14025" max="14025"/>
    <col width="10.81640625" customWidth="1" min="14027" max="14028"/>
    <col width="10.81640625" customWidth="1" min="14031" max="14512"/>
    <col width="10.81640625" customWidth="1" min="14515" max="15601"/>
    <col width="10.81640625" customWidth="1" min="15603" max="15605"/>
    <col width="10.81640625" customWidth="1" min="15609" max="15610"/>
    <col width="10.81640625" customWidth="1" min="15614" max="15619"/>
    <col width="10.81640625" customWidth="1" min="15621" max="15622"/>
    <col width="10.81640625" customWidth="1" min="15624" max="15625"/>
    <col width="10.81640625" customWidth="1" min="15627" max="15628"/>
    <col width="10.81640625" customWidth="1" min="15630" max="15630"/>
    <col width="10.81640625" customWidth="1" min="15633" max="15633"/>
    <col width="10.81640625" customWidth="1" min="15635" max="15636"/>
    <col width="10.81640625" customWidth="1" min="15640" max="15640"/>
    <col width="10.81640625" customWidth="1" min="15643" max="15644"/>
    <col width="10.81640625" customWidth="1" min="15648" max="15656"/>
    <col width="10.81640625" customWidth="1" min="15659" max="15659"/>
    <col width="10.81640625" customWidth="1" min="15661" max="15661"/>
    <col width="10.81640625" customWidth="1" min="15664" max="15665"/>
    <col width="10.81640625" customWidth="1" min="15667" max="15669"/>
    <col width="10.81640625" customWidth="1" min="15673" max="15674"/>
    <col width="10.81640625" customWidth="1" min="15678" max="15683"/>
    <col width="10.81640625" customWidth="1" min="15685" max="15686"/>
    <col width="10.81640625" customWidth="1" min="15688" max="15689"/>
    <col width="10.81640625" customWidth="1" min="15691" max="15692"/>
    <col width="10.81640625" customWidth="1" min="15694" max="15694"/>
    <col width="10.81640625" customWidth="1" min="15697" max="15697"/>
    <col width="10.81640625" customWidth="1" min="15699" max="15700"/>
    <col width="10.81640625" customWidth="1" min="15704" max="15704"/>
    <col width="10.81640625" customWidth="1" min="15707" max="15708"/>
    <col width="10.81640625" customWidth="1" min="15712" max="15720"/>
    <col width="10.81640625" customWidth="1" min="15723" max="15723"/>
    <col width="10.81640625" customWidth="1" min="15725" max="15725"/>
    <col width="10.81640625" customWidth="1" min="15728" max="15732"/>
    <col width="10.81640625" customWidth="1" min="15735" max="15735"/>
    <col width="10.81640625" customWidth="1" min="15739" max="15739"/>
    <col width="10.81640625" customWidth="1" min="15743" max="15744"/>
    <col width="10.81640625" customWidth="1" min="15746" max="15746"/>
    <col width="10.81640625" customWidth="1" min="15749" max="15750"/>
    <col width="10.81640625" customWidth="1" min="15757" max="15758"/>
    <col width="10.81640625" customWidth="1" min="15760" max="15760"/>
    <col width="10.81640625" customWidth="1" min="15776" max="15861"/>
    <col width="10.81640625" customWidth="1" min="15866" max="15867"/>
    <col width="10.81640625" customWidth="1" min="15869" max="15870"/>
    <col width="10.81640625" customWidth="1" min="15872" max="15872"/>
    <col width="10.81640625" customWidth="1" min="15874" max="15874"/>
    <col width="10.81640625" customWidth="1" min="15877" max="15878"/>
    <col width="10.81640625" customWidth="1" min="15885" max="15886"/>
    <col width="10.81640625" customWidth="1" min="15888" max="15888"/>
    <col width="10.81640625" customWidth="1" min="15904" max="15921"/>
    <col width="10.81640625" customWidth="1" min="15923" max="15925"/>
    <col width="10.81640625" customWidth="1" min="15930" max="15931"/>
    <col width="10.81640625" customWidth="1" min="15933" max="15934"/>
    <col width="10.81640625" customWidth="1" min="15936" max="15936"/>
    <col width="10.81640625" customWidth="1" min="15938" max="15938"/>
    <col width="10.81640625" customWidth="1" min="15941" max="15942"/>
    <col width="10.81640625" customWidth="1" min="15949" max="15950"/>
    <col width="10.81640625" customWidth="1" min="15952" max="15952"/>
    <col width="10.81640625" customWidth="1" min="15968" max="15988"/>
    <col width="10.81640625" customWidth="1" min="15991" max="15991"/>
    <col width="10.81640625" customWidth="1" min="15993" max="15993"/>
    <col width="10.81640625" customWidth="1" min="15995" max="15995"/>
    <col width="10.81640625" customWidth="1" min="15999" max="16000"/>
    <col width="10.81640625" customWidth="1" min="16002" max="16002"/>
    <col width="10.81640625" customWidth="1" min="16005" max="16006"/>
    <col width="10.81640625" customWidth="1" min="16013" max="16014"/>
    <col width="10.81640625" customWidth="1" min="16016" max="16016"/>
    <col width="10.81640625" customWidth="1" min="16032" max="16050"/>
    <col width="10.81640625" customWidth="1" min="16053" max="16053"/>
    <col width="10.81640625" customWidth="1" min="16056" max="16056"/>
    <col width="10.81640625" customWidth="1" min="16058" max="16059"/>
    <col width="10.81640625" customWidth="1" min="16064" max="16064"/>
    <col width="10.81640625" customWidth="1" min="16067" max="16067"/>
    <col width="10.81640625" customWidth="1" min="16070" max="16070"/>
    <col width="10.81640625" customWidth="1" min="16072" max="16072"/>
    <col width="10.81640625" customWidth="1" min="16074" max="16076"/>
    <col width="10.81640625" customWidth="1" min="16078" max="16079"/>
    <col width="10.81640625" customWidth="1" min="16096" max="16116"/>
    <col width="10.81640625" customWidth="1" min="16120" max="16120"/>
    <col width="10.81640625" customWidth="1" min="16123" max="16123"/>
    <col width="10.81640625" customWidth="1" min="16127" max="16128"/>
    <col width="10.81640625" customWidth="1" min="16130" max="16130"/>
    <col width="10.81640625" customWidth="1" min="16133" max="16134"/>
    <col width="10.81640625" customWidth="1" min="16141" max="16142"/>
    <col width="10.81640625" customWidth="1" min="16144" max="16144"/>
    <col width="10.81640625" customWidth="1" min="16160" max="16177"/>
    <col width="10.81640625" customWidth="1" min="16179" max="16185"/>
    <col width="10.81640625" customWidth="1" min="16187" max="16187"/>
    <col width="10.81640625" customWidth="1" min="16189" max="16190"/>
    <col width="10.81640625" customWidth="1" min="16192" max="16192"/>
    <col width="10.81640625" customWidth="1" min="16194" max="16194"/>
    <col width="10.81640625" customWidth="1" min="16197" max="16198"/>
    <col width="10.81640625" customWidth="1" min="16205" max="16206"/>
    <col width="10.81640625" customWidth="1" min="16208" max="16208"/>
    <col width="10.81640625" customWidth="1" min="16224" max="16245"/>
    <col width="10.81640625" customWidth="1" min="16247" max="16247"/>
    <col width="10.81640625" customWidth="1" min="16251" max="16251"/>
    <col width="10.81640625" customWidth="1" min="16255" max="16256"/>
    <col width="10.81640625" customWidth="1" min="16258" max="16258"/>
    <col width="10.81640625" customWidth="1" min="16261" max="16262"/>
    <col width="10.81640625" customWidth="1" min="16269" max="16270"/>
    <col width="10.81640625" customWidth="1" min="16272" max="16272"/>
    <col width="10.81640625" customWidth="1" min="16288" max="16305"/>
    <col width="10.81640625" customWidth="1" min="16308" max="16308"/>
    <col width="10.81640625" customWidth="1" min="16310" max="16313"/>
    <col width="10.81640625" customWidth="1" min="16320" max="16321"/>
    <col width="10.81640625" customWidth="1" min="16323" max="16323"/>
    <col width="10.81640625" customWidth="1" min="16326" max="16326"/>
    <col width="10.81640625" customWidth="1" min="16328" max="16328"/>
    <col width="10.81640625" customWidth="1" min="16330" max="16332"/>
    <col width="10.81640625" customWidth="1" min="16334" max="16335"/>
    <col width="10.81640625" customWidth="1" min="16352" max="16372"/>
    <col width="10.81640625" customWidth="1" min="16374" max="16375"/>
    <col width="10.81640625" customWidth="1" min="16379" max="16379"/>
    <col width="10.81640625" customWidth="1" min="16383" max="16384"/>
  </cols>
  <sheetData>
    <row r="1">
      <c r="A1" s="56" t="inlineStr">
        <is>
          <t>Item</t>
        </is>
      </c>
      <c r="B1" s="56" t="inlineStr">
        <is>
          <t>ID</t>
        </is>
      </c>
      <c r="C1" s="56" t="inlineStr">
        <is>
          <t>name</t>
        </is>
      </c>
    </row>
    <row r="2">
      <c r="A2" s="57" t="inlineStr">
        <is>
          <t>Category_ID</t>
        </is>
      </c>
      <c r="B2" s="57" t="n">
        <v>1</v>
      </c>
      <c r="C2" s="57" t="inlineStr">
        <is>
          <t>Default category</t>
        </is>
      </c>
    </row>
    <row r="3">
      <c r="A3" s="57" t="inlineStr">
        <is>
          <t>Region_ID</t>
        </is>
      </c>
      <c r="B3" s="57" t="n">
        <v>1</v>
      </c>
      <c r="C3" s="57" t="inlineStr">
        <is>
          <t>Default region</t>
        </is>
      </c>
    </row>
    <row r="4">
      <c r="A4" s="57" t="inlineStr">
        <is>
          <t>reference_year</t>
        </is>
      </c>
      <c r="B4" s="57" t="n">
        <v>0</v>
      </c>
      <c r="C4" s="60" t="n">
        <v>2017</v>
      </c>
    </row>
    <row r="5">
      <c r="A5" s="57" t="inlineStr">
        <is>
          <t>DamageFunID</t>
        </is>
      </c>
      <c r="B5" s="57" t="n">
        <v>1</v>
      </c>
      <c r="C5" s="57" t="inlineStr">
        <is>
          <t>all default functions, based on expert judgement</t>
        </is>
      </c>
    </row>
    <row r="6">
      <c r="A6" s="57" t="inlineStr">
        <is>
          <t>DamageFunID</t>
        </is>
      </c>
      <c r="B6" s="57" t="n">
        <v>3</v>
      </c>
      <c r="C6" s="57" t="inlineStr">
        <is>
          <t>demo damage function to reflect change in tropical cyclone (TC) buidling code, source expert judgement</t>
        </is>
      </c>
    </row>
    <row r="7">
      <c r="A7" s="57" t="inlineStr">
        <is>
          <t>measureID</t>
        </is>
      </c>
      <c r="B7" s="57" t="n">
        <v>1</v>
      </c>
      <c r="C7" s="57" t="inlineStr">
        <is>
          <t>beach nourishment, demo</t>
        </is>
      </c>
    </row>
    <row r="8">
      <c r="A8" s="57" t="inlineStr">
        <is>
          <t>measureID</t>
        </is>
      </c>
      <c r="B8" s="57" t="n">
        <v>2</v>
      </c>
      <c r="C8" s="57" t="inlineStr">
        <is>
          <t>vegetation management, demo</t>
        </is>
      </c>
    </row>
    <row r="9">
      <c r="A9" s="57" t="inlineStr">
        <is>
          <t>measureID</t>
        </is>
      </c>
      <c r="B9" s="57" t="n">
        <v>3</v>
      </c>
      <c r="C9" s="57" t="inlineStr">
        <is>
          <t>sandbags, demo</t>
        </is>
      </c>
    </row>
    <row r="10">
      <c r="A10" s="57" t="inlineStr">
        <is>
          <t>measureID</t>
        </is>
      </c>
      <c r="B10" s="57" t="n">
        <v>4</v>
      </c>
      <c r="C10" s="57" t="inlineStr">
        <is>
          <t>seawall, demo</t>
        </is>
      </c>
    </row>
    <row r="11">
      <c r="A11" s="57" t="inlineStr">
        <is>
          <t>measureID</t>
        </is>
      </c>
      <c r="B11" s="57" t="n">
        <v>5</v>
      </c>
      <c r="C11" s="57" t="inlineStr">
        <is>
          <t>elevate existing buildings, demo</t>
        </is>
      </c>
    </row>
    <row r="12">
      <c r="A12" s="57" t="inlineStr">
        <is>
          <t>measureID</t>
        </is>
      </c>
      <c r="B12" s="57" t="n">
        <v>6</v>
      </c>
      <c r="C12" s="57" t="inlineStr">
        <is>
          <t>enforce building code, demo, see DamageFunID 3</t>
        </is>
      </c>
    </row>
    <row r="13">
      <c r="A13" s="57" t="inlineStr">
        <is>
          <t>measureID</t>
        </is>
      </c>
      <c r="B13" s="57" t="n">
        <v>7</v>
      </c>
      <c r="C13" s="57" t="inlineStr">
        <is>
          <t>risk transfer, demo</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 Müller</dc:creator>
  <dcterms:created xsi:type="dcterms:W3CDTF">1996-10-14T23:33:28Z</dcterms:created>
  <dcterms:modified xsi:type="dcterms:W3CDTF">2026-05-13T13:28:38Z</dcterms:modified>
  <cp:lastModifiedBy>KALOMALOS Georgios</cp:lastModifiedBy>
</cp:coreProperties>
</file>